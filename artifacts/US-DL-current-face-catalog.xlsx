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imen layout" sheetId="1" state="visible" r:id="rId3"/>
    <sheet name="Barcode tooling" sheetId="2" state="visible" r:id="rId4"/>
    <sheet name="Catalog index" sheetId="3" state="visible" r:id="rId5"/>
    <sheet name="Current Faces" sheetId="4" state="visible" r:id="rId6"/>
    <sheet name="Previous Faces" sheetId="5" state="visible" r:id="rId7"/>
    <sheet name="Quality score" sheetId="6" state="visible" r:id="rId8"/>
    <sheet name="AAMVA Visual Zones" sheetId="7" state="visible" r:id="rId9"/>
    <sheet name="Newest generations" sheetId="8" state="visible" r:id="rId10"/>
    <sheet name="How to read this" sheetId="9" state="visible" r:id="rId11"/>
  </sheets>
  <definedNames>
    <definedName function="false" hidden="false" localSheetId="1" name="_xlnm.Print_Titles" vbProcedure="false">'Barcode tooling'!$1:$1</definedName>
    <definedName function="false" hidden="true" localSheetId="1" name="_xlnm._FilterDatabase" vbProcedure="false">'Barcode tooling'!$A$1:$E$26</definedName>
    <definedName function="false" hidden="false" localSheetId="3" name="_xlnm.Print_Titles" vbProcedure="false">'Current Faces'!$1:$1</definedName>
    <definedName function="false" hidden="true" localSheetId="3" name="_xlnm._FilterDatabase" vbProcedure="false">'Current Faces'!$A$1:$R$57</definedName>
    <definedName function="false" hidden="false" localSheetId="4" name="_xlnm.Print_Titles" vbProcedure="false">'Previous Faces'!$1:$1</definedName>
    <definedName function="false" hidden="true" localSheetId="4" name="_xlnm._FilterDatabase" vbProcedure="false">'Previous Faces'!$A$1:$M$57</definedName>
    <definedName function="false" hidden="false" localSheetId="5" name="_xlnm.Print_Titles" vbProcedure="false">'Quality score'!$1:$1</definedName>
    <definedName function="false" hidden="true" localSheetId="5" name="_xlnm._FilterDatabase" vbProcedure="false">'Quality score'!$A$1:$E$12</definedName>
    <definedName function="false" hidden="false" localSheetId="0" name="_xlnm.Print_Titles" vbProcedure="false">'Specimen layout'!$1:$1</definedName>
    <definedName function="false" hidden="true" localSheetId="0" name="_xlnm._FilterDatabase" vbProcedure="false">'Specimen layout'!$A$1:$D$39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<sst xmlns="http://schemas.openxmlformats.org/spreadsheetml/2006/main" count="2149" uniqueCount="996">
  <si>
    <t xml:space="preserve">Item</t>
  </si>
  <si>
    <t xml:space="preserve">Value</t>
  </si>
  <si>
    <t xml:space="preserve">Unit / rule</t>
  </si>
  <si>
    <t xml:space="preserve">Notes</t>
  </si>
  <si>
    <t xml:space="preserve">Card stock</t>
  </si>
  <si>
    <t xml:space="preserve">CR80 / ID-1</t>
  </si>
  <si>
    <t xml:space="preserve">ISO/IEC 7810</t>
  </si>
  <si>
    <t xml:space="preserve">3.375 in × 2.125 in</t>
  </si>
  <si>
    <t xml:space="preserve">Preview raster</t>
  </si>
  <si>
    <t xml:space="preserve">1013 × 638</t>
  </si>
  <si>
    <t xml:space="preserve">px @ 300 dpi</t>
  </si>
  <si>
    <t xml:space="preserve">Horizontal adult</t>
  </si>
  <si>
    <t xml:space="preserve">Print raster</t>
  </si>
  <si>
    <t xml:space="preserve">2025 × 1275</t>
  </si>
  <si>
    <t xml:space="preserve">px @ 600 dpi</t>
  </si>
  <si>
    <t xml:space="preserve">Both sides PNG</t>
  </si>
  <si>
    <t xml:space="preserve">Vertical U21 raster</t>
  </si>
  <si>
    <t xml:space="preserve">638 × 1013</t>
  </si>
  <si>
    <t xml:space="preserve">Card rotated; photo still top-left of short side after rotate</t>
  </si>
  <si>
    <t xml:space="preserve">Corner radius</t>
  </si>
  <si>
    <t xml:space="preserve">22</t>
  </si>
  <si>
    <t xml:space="preserve">Rounded CR80</t>
  </si>
  <si>
    <t xml:space="preserve">Zone I header band</t>
  </si>
  <si>
    <t xml:space="preserve">0–58</t>
  </si>
  <si>
    <t xml:space="preserve">px Y</t>
  </si>
  <si>
    <t xml:space="preserve">State name + DRIVER LICENSE / IDENTIFICATION CARD + agency</t>
  </si>
  <si>
    <t xml:space="preserve">OVI strip</t>
  </si>
  <si>
    <t xml:space="preserve">Y=58, H=9</t>
  </si>
  <si>
    <t xml:space="preserve">px</t>
  </si>
  <si>
    <t xml:space="preserve">Full width under header</t>
  </si>
  <si>
    <t xml:space="preserve">Zone III portrait</t>
  </si>
  <si>
    <t xml:space="preserve">X=22 Y=70 W=228 H=304</t>
  </si>
  <si>
    <t xml:space="preserve">Left photo; SPECIMEN strip on portrait</t>
  </si>
  <si>
    <t xml:space="preserve">Signature under photo</t>
  </si>
  <si>
    <t xml:space="preserve">X=22 Y=378 W=228 H=50</t>
  </si>
  <si>
    <t xml:space="preserve">Great Vibes auto or drawn pad</t>
  </si>
  <si>
    <t xml:space="preserve">Zone II data panel</t>
  </si>
  <si>
    <t xml:space="preserve">X=268 Y=76</t>
  </si>
  <si>
    <t xml:space="preserve">Right of photo</t>
  </si>
  <si>
    <t xml:space="preserve">Ghost / secondary</t>
  </si>
  <si>
    <t xml:space="preserve">X≈678 Y≈360 W=140 H=186</t>
  </si>
  <si>
    <t xml:space="preserve">Rect default; VA uses rosette</t>
  </si>
  <si>
    <t xml:space="preserve">Laser-perf row</t>
  </si>
  <si>
    <t xml:space="preserve">X≈W-16</t>
  </si>
  <si>
    <t xml:space="preserve">dots</t>
  </si>
  <si>
    <t xml:space="preserve">56 geometric dots, not a copied plant perforation</t>
  </si>
  <si>
    <t xml:space="preserve">Microprint lines</t>
  </si>
  <si>
    <t xml:space="preserve">Y=86 and Y=H-8</t>
  </si>
  <si>
    <t xml:space="preserve">6px IBM Plex Mono</t>
  </si>
  <si>
    <t xml:space="preserve">SPECIMEN + code + generation + DLN</t>
  </si>
  <si>
    <t xml:space="preserve">Watermark</t>
  </si>
  <si>
    <t xml:space="preserve">center, −36°</t>
  </si>
  <si>
    <t xml:space="preserve">64px</t>
  </si>
  <si>
    <t xml:space="preserve">SPECIMEN</t>
  </si>
  <si>
    <t xml:space="preserve">ISO 4d DLN</t>
  </si>
  <si>
    <t xml:space="preserve">top of data panel</t>
  </si>
  <si>
    <t xml:space="preserve">label + value</t>
  </si>
  <si>
    <t xml:space="preserve">Customer / license number</t>
  </si>
  <si>
    <t xml:space="preserve">ISO 4b EXP</t>
  </si>
  <si>
    <t xml:space="preserve">same row right</t>
  </si>
  <si>
    <t xml:space="preserve">MM/DD/YYYY</t>
  </si>
  <si>
    <t xml:space="preserve">displayDate</t>
  </si>
  <si>
    <t xml:space="preserve">ISO 3 DOB</t>
  </si>
  <si>
    <t xml:space="preserve">under name block</t>
  </si>
  <si>
    <t xml:space="preserve">ISO 1 family</t>
  </si>
  <si>
    <t xml:space="preserve">name block</t>
  </si>
  <si>
    <t xml:space="preserve">uppercase</t>
  </si>
  <si>
    <t xml:space="preserve">ISO 2 given</t>
  </si>
  <si>
    <t xml:space="preserve">first + middle</t>
  </si>
  <si>
    <t xml:space="preserve">ISO 8 class</t>
  </si>
  <si>
    <t xml:space="preserve">facts row</t>
  </si>
  <si>
    <t xml:space="preserve">AAMVA class</t>
  </si>
  <si>
    <t xml:space="preserve">ISO 9 rest</t>
  </si>
  <si>
    <t xml:space="preserve">NONE if empty</t>
  </si>
  <si>
    <t xml:space="preserve">ISO 9a end</t>
  </si>
  <si>
    <t xml:space="preserve">ISO 12 DD</t>
  </si>
  <si>
    <t xml:space="preserve">audit</t>
  </si>
  <si>
    <t xml:space="preserve">inventory / document discriminator</t>
  </si>
  <si>
    <t xml:space="preserve">ISO 4a ISS</t>
  </si>
  <si>
    <t xml:space="preserve">dates row</t>
  </si>
  <si>
    <t xml:space="preserve">ISO 15–19</t>
  </si>
  <si>
    <t xml:space="preserve">physical row</t>
  </si>
  <si>
    <t xml:space="preserve">sex / HGT / EYES / HAIR / WGT</t>
  </si>
  <si>
    <t xml:space="preserve">displayHeight → 5'-08"</t>
  </si>
  <si>
    <t xml:space="preserve">U21 rule</t>
  </si>
  <si>
    <t xml:space="preserve">ageOn(dob, today) &lt; 21</t>
  </si>
  <si>
    <t xml:space="preserve">auto orientation</t>
  </si>
  <si>
    <t xml:space="preserve">Banner UNDER 21 UNTIL + vertical card</t>
  </si>
  <si>
    <t xml:space="preserve">AZ U21 exception</t>
  </si>
  <si>
    <t xml:space="preserve">vertical may persist past 21</t>
  </si>
  <si>
    <t xml:space="preserve">theme flag</t>
  </si>
  <si>
    <t xml:space="preserve">Until later EXP; catalogued, not a second plate</t>
  </si>
  <si>
    <t xml:space="preserve">REAL ID default</t>
  </si>
  <si>
    <t xml:space="preserve">gold star circle</t>
  </si>
  <si>
    <t xml:space="preserve">most jurisdictions</t>
  </si>
  <si>
    <t xml:space="preserve">REAL ID CA</t>
  </si>
  <si>
    <t xml:space="preserve">gold bear + star</t>
  </si>
  <si>
    <t xml:space="preserve">CA 2025</t>
  </si>
  <si>
    <t xml:space="preserve">REAL ID ME/MI/NV</t>
  </si>
  <si>
    <t xml:space="preserve">gold state outline + star</t>
  </si>
  <si>
    <t xml:space="preserve">REAL ID NH</t>
  </si>
  <si>
    <t xml:space="preserve">Old Man + star</t>
  </si>
  <si>
    <t xml:space="preserve">EDL mark</t>
  </si>
  <si>
    <t xml:space="preserve">US flag near photo</t>
  </si>
  <si>
    <t xml:space="preserve">WA NY MI MN VT</t>
  </si>
  <si>
    <t xml:space="preserve">With or instead of star</t>
  </si>
  <si>
    <t xml:space="preserve">Back mag stripe</t>
  </si>
  <si>
    <t xml:space="preserve">top band</t>
  </si>
  <si>
    <t xml:space="preserve">on except CA 2025</t>
  </si>
  <si>
    <t xml:space="preserve">theme.magStripe</t>
  </si>
  <si>
    <t xml:space="preserve">Back Code 128 DLN</t>
  </si>
  <si>
    <t xml:space="preserve">under stripe</t>
  </si>
  <si>
    <t xml:space="preserve">full width</t>
  </si>
  <si>
    <t xml:space="preserve">Back PDF417</t>
  </si>
  <si>
    <t xml:space="preserve">left</t>
  </si>
  <si>
    <t xml:space="preserve">Annex D payload</t>
  </si>
  <si>
    <t xml:space="preserve">Back CLASS/END/REST</t>
  </si>
  <si>
    <t xml:space="preserve">right column</t>
  </si>
  <si>
    <t xml:space="preserve">Back inventory 128</t>
  </si>
  <si>
    <t xml:space="preserve">bottom</t>
  </si>
  <si>
    <t xml:space="preserve">form.inventory</t>
  </si>
  <si>
    <t xml:space="preserve">Back IIN</t>
  </si>
  <si>
    <t xml:space="preserve">bottom right</t>
  </si>
  <si>
    <t xml:space="preserve">6-digit issuer ID</t>
  </si>
  <si>
    <t xml:space="preserve">Check id</t>
  </si>
  <si>
    <t xml:space="preserve">Layer</t>
  </si>
  <si>
    <t xml:space="preserve">Rule</t>
  </si>
  <si>
    <t xml:space="preserve">Pass condition</t>
  </si>
  <si>
    <t xml:space="preserve">Export / control</t>
  </si>
  <si>
    <t xml:space="preserve">B01</t>
  </si>
  <si>
    <t xml:space="preserve">Header</t>
  </si>
  <si>
    <t xml:space="preserve">9-byte prefix ends in ANSI space</t>
  </si>
  <si>
    <t xml:space="preserve">@\n\x1e\rANSI  present</t>
  </si>
  <si>
    <t xml:space="preserve">payload.txt</t>
  </si>
  <si>
    <t xml:space="preserve">B02</t>
  </si>
  <si>
    <t xml:space="preserve">AAMVA version + IIN</t>
  </si>
  <si>
    <t xml:space="preserve">IIN matches jurisdiction table (636xxx)</t>
  </si>
  <si>
    <t xml:space="preserve">verify panel</t>
  </si>
  <si>
    <t xml:space="preserve">B03</t>
  </si>
  <si>
    <t xml:space="preserve">Jurisdiction + issue year</t>
  </si>
  <si>
    <t xml:space="preserve">matches form.jurisdictionCode</t>
  </si>
  <si>
    <t xml:space="preserve">B04</t>
  </si>
  <si>
    <t xml:space="preserve">Subfile</t>
  </si>
  <si>
    <t xml:space="preserve">DL + Z offsets chain</t>
  </si>
  <si>
    <t xml:space="preserve">offset[n]+len[n] = offset[n+1]</t>
  </si>
  <si>
    <t xml:space="preserve">B05</t>
  </si>
  <si>
    <t xml:space="preserve">Mandatory</t>
  </si>
  <si>
    <t xml:space="preserve">DAQ license number</t>
  </si>
  <si>
    <t xml:space="preserve">matches jurisdiction regex</t>
  </si>
  <si>
    <t xml:space="preserve">B06</t>
  </si>
  <si>
    <t xml:space="preserve">DCS family / DAC first / DAD middle</t>
  </si>
  <si>
    <t xml:space="preserve">uppercase, present</t>
  </si>
  <si>
    <t xml:space="preserve">B07</t>
  </si>
  <si>
    <t xml:space="preserve">DBB DOB DBA EXP DBD ISS</t>
  </si>
  <si>
    <t xml:space="preserve">YYYYMMDD</t>
  </si>
  <si>
    <t xml:space="preserve">B08</t>
  </si>
  <si>
    <t xml:space="preserve">DBC sex DBD/DAU height</t>
  </si>
  <si>
    <t xml:space="preserve">1/2/9 and height inches</t>
  </si>
  <si>
    <t xml:space="preserve">B09</t>
  </si>
  <si>
    <t xml:space="preserve">DAG street DAI city DAJ state DAK ZIP</t>
  </si>
  <si>
    <t xml:space="preserve">ZIP in jurisdiction range</t>
  </si>
  <si>
    <t xml:space="preserve">B10</t>
  </si>
  <si>
    <t xml:space="preserve">DCF DD / DCG USA / DCK inventory</t>
  </si>
  <si>
    <t xml:space="preserve">present</t>
  </si>
  <si>
    <t xml:space="preserve">B11</t>
  </si>
  <si>
    <t xml:space="preserve">Optional</t>
  </si>
  <si>
    <t xml:space="preserve">DDA veteran / DDK organ donor / DDA REAL ID</t>
  </si>
  <si>
    <t xml:space="preserve">Z-subfile or DL optional</t>
  </si>
  <si>
    <t xml:space="preserve">B12</t>
  </si>
  <si>
    <t xml:space="preserve">PDF417</t>
  </si>
  <si>
    <t xml:space="preserve">columns</t>
  </si>
  <si>
    <t xml:space="preserve">form.pdf417Columns default 13</t>
  </si>
  <si>
    <t xml:space="preserve">encode options</t>
  </si>
  <si>
    <t xml:space="preserve">B13</t>
  </si>
  <si>
    <t xml:space="preserve">EC level</t>
  </si>
  <si>
    <t xml:space="preserve">form.pdf417EcLevel default 5</t>
  </si>
  <si>
    <t xml:space="preserve">B14</t>
  </si>
  <si>
    <t xml:space="preserve">compact</t>
  </si>
  <si>
    <t xml:space="preserve">form.compactPdf417 off by default; on = truncated PDF417</t>
  </si>
  <si>
    <t xml:space="preserve">B15</t>
  </si>
  <si>
    <t xml:space="preserve">binarytext + rowmult</t>
  </si>
  <si>
    <t xml:space="preserve">bwip-js; rows auto</t>
  </si>
  <si>
    <t xml:space="preserve">render.ts</t>
  </si>
  <si>
    <t xml:space="preserve">B16</t>
  </si>
  <si>
    <t xml:space="preserve">Round-trip</t>
  </si>
  <si>
    <t xml:space="preserve">ZXing RGBLuminanceSource + HybridBinarizer</t>
  </si>
  <si>
    <t xml:space="preserve">decoded === payload</t>
  </si>
  <si>
    <t xml:space="preserve">image proof</t>
  </si>
  <si>
    <t xml:space="preserve">B17</t>
  </si>
  <si>
    <t xml:space="preserve">Jurisdictions</t>
  </si>
  <si>
    <t xml:space="preserve">56 IINs + license patterns</t>
  </si>
  <si>
    <t xml:space="preserve">every code in JURISDICTIONS encodes</t>
  </si>
  <si>
    <t xml:space="preserve">prove-all-barcodes</t>
  </si>
  <si>
    <t xml:space="preserve">B18</t>
  </si>
  <si>
    <t xml:space="preserve">VA gate</t>
  </si>
  <si>
    <t xml:space="preserve">Virginia specimen</t>
  </si>
  <si>
    <t xml:space="preserve">60/60 structural + image round-trip</t>
  </si>
  <si>
    <t xml:space="preserve">prove-va-barcode</t>
  </si>
  <si>
    <t xml:space="preserve">B19</t>
  </si>
  <si>
    <t xml:space="preserve">Export</t>
  </si>
  <si>
    <t xml:space="preserve">raw Annex D bytes as UTF-8 with control glyphs escaped</t>
  </si>
  <si>
    <t xml:space="preserve">download</t>
  </si>
  <si>
    <t xml:space="preserve">B20</t>
  </si>
  <si>
    <t xml:space="preserve">pdf417.png</t>
  </si>
  <si>
    <t xml:space="preserve">2× preview / 3× print scale, white bg black bars</t>
  </si>
  <si>
    <t xml:space="preserve">B21</t>
  </si>
  <si>
    <t xml:space="preserve">front-print.png / back-print.png</t>
  </si>
  <si>
    <t xml:space="preserve">600 dpi CR80 both sides</t>
  </si>
  <si>
    <t xml:space="preserve">Print PNG</t>
  </si>
  <si>
    <t xml:space="preserve">B22</t>
  </si>
  <si>
    <t xml:space="preserve">print both</t>
  </si>
  <si>
    <t xml:space="preserve">window.print CR80 @page</t>
  </si>
  <si>
    <t xml:space="preserve">Print both</t>
  </si>
  <si>
    <t xml:space="preserve">B23</t>
  </si>
  <si>
    <t xml:space="preserve">1D</t>
  </si>
  <si>
    <t xml:space="preserve">Code 128 of DLN</t>
  </si>
  <si>
    <t xml:space="preserve">back top</t>
  </si>
  <si>
    <t xml:space="preserve">renderCode128</t>
  </si>
  <si>
    <t xml:space="preserve">B24</t>
  </si>
  <si>
    <t xml:space="preserve">Code 128 of inventory</t>
  </si>
  <si>
    <t xml:space="preserve">back bottom</t>
  </si>
  <si>
    <t xml:space="preserve">B25</t>
  </si>
  <si>
    <t xml:space="preserve">Compact mode</t>
  </si>
  <si>
    <t xml:space="preserve">truncated PDF417</t>
  </si>
  <si>
    <t xml:space="preserve">fewer columns, same payload; scanners that require full PDF417 may reject</t>
  </si>
  <si>
    <t xml:space="preserve">toggle</t>
  </si>
  <si>
    <t xml:space="preserve">Metric</t>
  </si>
  <si>
    <t xml:space="preserve">Formula result</t>
  </si>
  <si>
    <t xml:space="preserve">Source sheet</t>
  </si>
  <si>
    <t xml:space="preserve">Jurisdictions on Current Faces</t>
  </si>
  <si>
    <t xml:space="preserve">Current Faces</t>
  </si>
  <si>
    <t xml:space="preserve">Jurisdictions on Previous Faces</t>
  </si>
  <si>
    <t xml:space="preserve">Previous Faces</t>
  </si>
  <si>
    <t xml:space="preserve">Newest redesign rows</t>
  </si>
  <si>
    <t xml:space="preserve">Newest generations</t>
  </si>
  <si>
    <t xml:space="preserve">Barcode checks</t>
  </si>
  <si>
    <t xml:space="preserve">Barcode tooling</t>
  </si>
  <si>
    <t xml:space="preserve">Specimen layout rows</t>
  </si>
  <si>
    <t xml:space="preserve">Specimen layout</t>
  </si>
  <si>
    <t xml:space="preserve">Quality zones scored</t>
  </si>
  <si>
    <t xml:space="preserve">Quality score</t>
  </si>
  <si>
    <t xml:space="preserve">Mean quality score</t>
  </si>
  <si>
    <t xml:space="preserve">Sheets in this workbook</t>
  </si>
  <si>
    <t xml:space="preserve">Current Faces, Previous Faces, Newest generations, Specimen layout, Barcode tooling, AAMVA Visual Zones, Quality score, Catalog index, How to read this</t>
  </si>
  <si>
    <t xml:space="preserve">—</t>
  </si>
  <si>
    <t xml:space="preserve">Code</t>
  </si>
  <si>
    <t xml:space="preserve">Jurisdiction</t>
  </si>
  <si>
    <t xml:space="preserve">Agency</t>
  </si>
  <si>
    <t xml:space="preserve">IIN</t>
  </si>
  <si>
    <t xml:space="preserve">Current generation</t>
  </si>
  <si>
    <t xml:space="preserve">Issued from</t>
  </si>
  <si>
    <t xml:space="preserve">Title on card</t>
  </si>
  <si>
    <t xml:space="preserve">Header style</t>
  </si>
  <si>
    <t xml:space="preserve">REAL ID mark</t>
  </si>
  <si>
    <t xml:space="preserve">U21</t>
  </si>
  <si>
    <t xml:space="preserve">Photo</t>
  </si>
  <si>
    <t xml:space="preserve">Ghost</t>
  </si>
  <si>
    <t xml:space="preserve">ISO field numbers</t>
  </si>
  <si>
    <t xml:space="preserve">Front art / motif</t>
  </si>
  <si>
    <t xml:space="preserve">Back</t>
  </si>
  <si>
    <t xml:space="preserve">Previous still circulating</t>
  </si>
  <si>
    <t xml:space="preserve">Official source</t>
  </si>
  <si>
    <t xml:space="preserve">AL</t>
  </si>
  <si>
    <t xml:space="preserve">Alabama</t>
  </si>
  <si>
    <t xml:space="preserve">ALEA / DPS</t>
  </si>
  <si>
    <t xml:space="preserve">636033</t>
  </si>
  <si>
    <t xml:space="preserve">2020 REAL ID</t>
  </si>
  <si>
    <t xml:space="preserve">2019–2020</t>
  </si>
  <si>
    <t xml:space="preserve">DRIVER LICENSE</t>
  </si>
  <si>
    <t xml:space="preserve">serif</t>
  </si>
  <si>
    <t xml:space="preserve">vertical</t>
  </si>
  <si>
    <t xml:space="preserve">rect</t>
  </si>
  <si>
    <t xml:space="preserve">4d/1/2/8/3/4a/4b</t>
  </si>
  <si>
    <t xml:space="preserve">Cotton / state outline wash</t>
  </si>
  <si>
    <t xml:space="preserve">1D + PDF417</t>
  </si>
  <si>
    <t xml:space="preserve">Annex D v10</t>
  </si>
  <si>
    <t xml:space="preserve">2010s cards to expiry</t>
  </si>
  <si>
    <t xml:space="preserve">alea.gov</t>
  </si>
  <si>
    <t xml:space="preserve">AK</t>
  </si>
  <si>
    <t xml:space="preserve">Alaska</t>
  </si>
  <si>
    <t xml:space="preserve">DMV / DOA</t>
  </si>
  <si>
    <t xml:space="preserve">636059</t>
  </si>
  <si>
    <t xml:space="preserve">2018 REAL ID</t>
  </si>
  <si>
    <t xml:space="preserve">2018–2019</t>
  </si>
  <si>
    <t xml:space="preserve">sans</t>
  </si>
  <si>
    <t xml:space="preserve">Glacier / aurora wash</t>
  </si>
  <si>
    <t xml:space="preserve">Annex D</t>
  </si>
  <si>
    <t xml:space="preserve">pre-2018 to expiry</t>
  </si>
  <si>
    <t xml:space="preserve">doa.alaska.gov/dmv</t>
  </si>
  <si>
    <t xml:space="preserve">AZ</t>
  </si>
  <si>
    <t xml:space="preserve">Arizona</t>
  </si>
  <si>
    <t xml:space="preserve">MVD / ADOT</t>
  </si>
  <si>
    <t xml:space="preserve">636026</t>
  </si>
  <si>
    <t xml:space="preserve">2014 current + vertical-to-65</t>
  </si>
  <si>
    <t xml:space="preserve">2014</t>
  </si>
  <si>
    <t xml:space="preserve">vertical until 65 allowed</t>
  </si>
  <si>
    <t xml:space="preserve">ISS bottom-right</t>
  </si>
  <si>
    <t xml:space="preserve">Sonoran / cactus wash</t>
  </si>
  <si>
    <t xml:space="preserve">older Teslin to expiry</t>
  </si>
  <si>
    <t xml:space="preserve">azdot.gov/mvd</t>
  </si>
  <si>
    <t xml:space="preserve">AR</t>
  </si>
  <si>
    <t xml:space="preserve">Arkansas</t>
  </si>
  <si>
    <t xml:space="preserve">DFA</t>
  </si>
  <si>
    <t xml:space="preserve">636021</t>
  </si>
  <si>
    <t xml:space="preserve">2018</t>
  </si>
  <si>
    <t xml:space="preserve">4d/1/2/8</t>
  </si>
  <si>
    <t xml:space="preserve">Natural State / diamond</t>
  </si>
  <si>
    <t xml:space="preserve">dfa.arkansas.gov</t>
  </si>
  <si>
    <t xml:space="preserve">CA</t>
  </si>
  <si>
    <t xml:space="preserve">California</t>
  </si>
  <si>
    <t xml:space="preserve">DMV</t>
  </si>
  <si>
    <t xml:space="preserve">636014</t>
  </si>
  <si>
    <t xml:space="preserve">2025 landscape</t>
  </si>
  <si>
    <t xml:space="preserve">2025-10-01</t>
  </si>
  <si>
    <t xml:space="preserve">sans caps</t>
  </si>
  <si>
    <t xml:space="preserve">rect lower-right</t>
  </si>
  <si>
    <t xml:space="preserve">4d DLN, 4b EXP, 3 DOB, 1, 2, 8, 9, 9a, 12, 4a ISS, 5 DD, 15–19</t>
  </si>
  <si>
    <t xml:space="preserve">Redwoods / coast / poppies; no mag stripe</t>
  </si>
  <si>
    <t xml:space="preserve">PDF417; mag stripe dropped 2025</t>
  </si>
  <si>
    <t xml:space="preserve">2018 gold-bear cards valid to expiry</t>
  </si>
  <si>
    <t xml:space="preserve">dmv.ca.gov 2025-10-01 release</t>
  </si>
  <si>
    <t xml:space="preserve">CO</t>
  </si>
  <si>
    <t xml:space="preserve">Colorado</t>
  </si>
  <si>
    <t xml:space="preserve">DOR</t>
  </si>
  <si>
    <t xml:space="preserve">636020</t>
  </si>
  <si>
    <t xml:space="preserve">2019 REAL ID</t>
  </si>
  <si>
    <t xml:space="preserve">2019</t>
  </si>
  <si>
    <t xml:space="preserve">14er / aspen wash</t>
  </si>
  <si>
    <t xml:space="preserve">2016–18 to expiry</t>
  </si>
  <si>
    <t xml:space="preserve">dmv.colorado.gov</t>
  </si>
  <si>
    <t xml:space="preserve">CT</t>
  </si>
  <si>
    <t xml:space="preserve">Connecticut</t>
  </si>
  <si>
    <t xml:space="preserve">636006</t>
  </si>
  <si>
    <t xml:space="preserve">2017 REAL ID</t>
  </si>
  <si>
    <t xml:space="preserve">2017</t>
  </si>
  <si>
    <t xml:space="preserve">Charter Oak / grapevine</t>
  </si>
  <si>
    <t xml:space="preserve">pre-2017 to expiry</t>
  </si>
  <si>
    <t xml:space="preserve">ct.gov/dmv</t>
  </si>
  <si>
    <t xml:space="preserve">DE</t>
  </si>
  <si>
    <t xml:space="preserve">Delaware</t>
  </si>
  <si>
    <t xml:space="preserve">DelDOT</t>
  </si>
  <si>
    <t xml:space="preserve">636011</t>
  </si>
  <si>
    <t xml:space="preserve">script</t>
  </si>
  <si>
    <t xml:space="preserve">First State blue header</t>
  </si>
  <si>
    <t xml:space="preserve">dmv.de.gov</t>
  </si>
  <si>
    <t xml:space="preserve">DC</t>
  </si>
  <si>
    <t xml:space="preserve">District of Columbia</t>
  </si>
  <si>
    <t xml:space="preserve">636043</t>
  </si>
  <si>
    <t xml:space="preserve">2013 / current REAL ID</t>
  </si>
  <si>
    <t xml:space="preserve">2013+</t>
  </si>
  <si>
    <t xml:space="preserve">Capitol / cherry-blossom wash</t>
  </si>
  <si>
    <t xml:space="preserve">older red-stripe to expiry</t>
  </si>
  <si>
    <t xml:space="preserve">dmv.dc.gov</t>
  </si>
  <si>
    <t xml:space="preserve">FL</t>
  </si>
  <si>
    <t xml:space="preserve">Florida</t>
  </si>
  <si>
    <t xml:space="preserve">FLHSMV</t>
  </si>
  <si>
    <t xml:space="preserve">636010</t>
  </si>
  <si>
    <t xml:space="preserve">2017 secure design</t>
  </si>
  <si>
    <t xml:space="preserve">script green</t>
  </si>
  <si>
    <t xml:space="preserve">gold star</t>
  </si>
  <si>
    <t xml:space="preserve">circle OVD ghost</t>
  </si>
  <si>
    <t xml:space="preserve">compact name/address; ISS often omitted on face</t>
  </si>
  <si>
    <t xml:space="preserve">Palm / sunburst; FL microprint</t>
  </si>
  <si>
    <t xml:space="preserve">mag stripe phasing; 1D + PDF417</t>
  </si>
  <si>
    <t xml:space="preserve">flhsmv.gov</t>
  </si>
  <si>
    <t xml:space="preserve">GA</t>
  </si>
  <si>
    <t xml:space="preserve">Georgia</t>
  </si>
  <si>
    <t xml:space="preserve">DDS</t>
  </si>
  <si>
    <t xml:space="preserve">636055</t>
  </si>
  <si>
    <t xml:space="preserve">ISS often barcode-only (DBD)</t>
  </si>
  <si>
    <t xml:space="preserve">Peach header / blossom</t>
  </si>
  <si>
    <t xml:space="preserve">pre-2019 to expiry</t>
  </si>
  <si>
    <t xml:space="preserve">dds.georgia.gov</t>
  </si>
  <si>
    <t xml:space="preserve">HI</t>
  </si>
  <si>
    <t xml:space="preserve">Hawaii</t>
  </si>
  <si>
    <t xml:space="preserve">County DMVs</t>
  </si>
  <si>
    <t xml:space="preserve">636047</t>
  </si>
  <si>
    <t xml:space="preserve">2026 redesign (from 2009)</t>
  </si>
  <si>
    <t xml:space="preserve">2026 production</t>
  </si>
  <si>
    <t xml:space="preserve">Rainbow, island chain, flag; back humuhumu + reef</t>
  </si>
  <si>
    <t xml:space="preserve">2009 rainbow cards valid to expiry</t>
  </si>
  <si>
    <t xml:space="preserve">kauai.gov 2026-06-29</t>
  </si>
  <si>
    <t xml:space="preserve">ID</t>
  </si>
  <si>
    <t xml:space="preserve">Idaho</t>
  </si>
  <si>
    <t xml:space="preserve">ITD</t>
  </si>
  <si>
    <t xml:space="preserve">636050</t>
  </si>
  <si>
    <t xml:space="preserve">Sawtooth / gem wash</t>
  </si>
  <si>
    <t xml:space="preserve">itd.idaho.gov</t>
  </si>
  <si>
    <t xml:space="preserve">IL</t>
  </si>
  <si>
    <t xml:space="preserve">Illinois</t>
  </si>
  <si>
    <t xml:space="preserve">SOS</t>
  </si>
  <si>
    <t xml:space="preserve">636035</t>
  </si>
  <si>
    <t xml:space="preserve">2016 REAL ID</t>
  </si>
  <si>
    <t xml:space="preserve">2016</t>
  </si>
  <si>
    <t xml:space="preserve">Prairie / Lincoln wash</t>
  </si>
  <si>
    <t xml:space="preserve">pre-2016 to expiry</t>
  </si>
  <si>
    <t xml:space="preserve">ilsos.gov</t>
  </si>
  <si>
    <t xml:space="preserve">IN</t>
  </si>
  <si>
    <t xml:space="preserve">Indiana</t>
  </si>
  <si>
    <t xml:space="preserve">BMV</t>
  </si>
  <si>
    <t xml:space="preserve">636037</t>
  </si>
  <si>
    <t xml:space="preserve">Covered bridge / cardinal</t>
  </si>
  <si>
    <t xml:space="preserve">in.gov/bmv</t>
  </si>
  <si>
    <t xml:space="preserve">IA</t>
  </si>
  <si>
    <t xml:space="preserve">Iowa</t>
  </si>
  <si>
    <t xml:space="preserve">DOT</t>
  </si>
  <si>
    <t xml:space="preserve">636018</t>
  </si>
  <si>
    <t xml:space="preserve">Prairie / corn gold</t>
  </si>
  <si>
    <t xml:space="preserve">iowadot.gov</t>
  </si>
  <si>
    <t xml:space="preserve">KS</t>
  </si>
  <si>
    <t xml:space="preserve">Kansas</t>
  </si>
  <si>
    <t xml:space="preserve">636022</t>
  </si>
  <si>
    <t xml:space="preserve">Sunflower / wheat</t>
  </si>
  <si>
    <t xml:space="preserve">ksrevenue.gov</t>
  </si>
  <si>
    <t xml:space="preserve">KY</t>
  </si>
  <si>
    <t xml:space="preserve">Kentucky</t>
  </si>
  <si>
    <t xml:space="preserve">KYTC</t>
  </si>
  <si>
    <t xml:space="preserve">636046</t>
  </si>
  <si>
    <t xml:space="preserve">Bluegrass / horse</t>
  </si>
  <si>
    <t xml:space="preserve">drive.ky.gov</t>
  </si>
  <si>
    <t xml:space="preserve">LA</t>
  </si>
  <si>
    <t xml:space="preserve">Louisiana</t>
  </si>
  <si>
    <t xml:space="preserve">OMV</t>
  </si>
  <si>
    <t xml:space="preserve">636007</t>
  </si>
  <si>
    <t xml:space="preserve">2014 / current</t>
  </si>
  <si>
    <t xml:space="preserve">Pelican / gold-green wash</t>
  </si>
  <si>
    <t xml:space="preserve">pre-2014 to expiry</t>
  </si>
  <si>
    <t xml:space="preserve">expresslane.org</t>
  </si>
  <si>
    <t xml:space="preserve">ME</t>
  </si>
  <si>
    <t xml:space="preserve">Maine</t>
  </si>
  <si>
    <t xml:space="preserve">BMV / SOS</t>
  </si>
  <si>
    <t xml:space="preserve">636041</t>
  </si>
  <si>
    <t xml:space="preserve">star in gold state map</t>
  </si>
  <si>
    <t xml:space="preserve">Pine / lighthouse</t>
  </si>
  <si>
    <t xml:space="preserve">maine.gov/sos/bmv</t>
  </si>
  <si>
    <t xml:space="preserve">MD</t>
  </si>
  <si>
    <t xml:space="preserve">Maryland</t>
  </si>
  <si>
    <t xml:space="preserve">MVA</t>
  </si>
  <si>
    <t xml:space="preserve">636003</t>
  </si>
  <si>
    <t xml:space="preserve">Flag colors / Chesapeake</t>
  </si>
  <si>
    <t xml:space="preserve">mva.maryland.gov</t>
  </si>
  <si>
    <t xml:space="preserve">MA</t>
  </si>
  <si>
    <t xml:space="preserve">Massachusetts</t>
  </si>
  <si>
    <t xml:space="preserve">RMV</t>
  </si>
  <si>
    <t xml:space="preserve">636002</t>
  </si>
  <si>
    <t xml:space="preserve">Bay State / Mayflower</t>
  </si>
  <si>
    <t xml:space="preserve">mass.gov/rmv</t>
  </si>
  <si>
    <t xml:space="preserve">MI</t>
  </si>
  <si>
    <t xml:space="preserve">Michigan</t>
  </si>
  <si>
    <t xml:space="preserve">636032</t>
  </si>
  <si>
    <t xml:space="preserve">2019 REAL ID + EDL</t>
  </si>
  <si>
    <t xml:space="preserve">Great Lakes / Mackinac</t>
  </si>
  <si>
    <t xml:space="preserve">1D + PDF417; EDL flag</t>
  </si>
  <si>
    <t xml:space="preserve">michigan.gov/sos</t>
  </si>
  <si>
    <t xml:space="preserve">MN</t>
  </si>
  <si>
    <t xml:space="preserve">Minnesota</t>
  </si>
  <si>
    <t xml:space="preserve">DVS</t>
  </si>
  <si>
    <t xml:space="preserve">636038</t>
  </si>
  <si>
    <t xml:space="preserve">2018 REAL ID + EDL</t>
  </si>
  <si>
    <t xml:space="preserve">gold star / EDL flag</t>
  </si>
  <si>
    <t xml:space="preserve">North Star / loon</t>
  </si>
  <si>
    <t xml:space="preserve">dvs.dps.mn.gov</t>
  </si>
  <si>
    <t xml:space="preserve">MS</t>
  </si>
  <si>
    <t xml:space="preserve">Mississippi</t>
  </si>
  <si>
    <t xml:space="preserve">DPS</t>
  </si>
  <si>
    <t xml:space="preserve">636051</t>
  </si>
  <si>
    <t xml:space="preserve">2018–19 REAL ID</t>
  </si>
  <si>
    <t xml:space="preserve">Magnolia wash</t>
  </si>
  <si>
    <t xml:space="preserve">dps.ms.gov</t>
  </si>
  <si>
    <t xml:space="preserve">MO</t>
  </si>
  <si>
    <t xml:space="preserve">Missouri</t>
  </si>
  <si>
    <t xml:space="preserve">636030</t>
  </si>
  <si>
    <t xml:space="preserve">Gateway Arch wash</t>
  </si>
  <si>
    <t xml:space="preserve">dor.mo.gov</t>
  </si>
  <si>
    <t xml:space="preserve">MT</t>
  </si>
  <si>
    <t xml:space="preserve">Montana</t>
  </si>
  <si>
    <t xml:space="preserve">MVD</t>
  </si>
  <si>
    <t xml:space="preserve">636008</t>
  </si>
  <si>
    <t xml:space="preserve">2015 REAL ID</t>
  </si>
  <si>
    <t xml:space="preserve">2015</t>
  </si>
  <si>
    <t xml:space="preserve">Big Sky / mountain</t>
  </si>
  <si>
    <t xml:space="preserve">pre-2015 to expiry</t>
  </si>
  <si>
    <t xml:space="preserve">dojmt.gov/driving</t>
  </si>
  <si>
    <t xml:space="preserve">NE</t>
  </si>
  <si>
    <t xml:space="preserve">Nebraska</t>
  </si>
  <si>
    <t xml:space="preserve">636054</t>
  </si>
  <si>
    <t xml:space="preserve">Cornhusker / Chimney Rock</t>
  </si>
  <si>
    <t xml:space="preserve">dmv.nebraska.gov</t>
  </si>
  <si>
    <t xml:space="preserve">NV</t>
  </si>
  <si>
    <t xml:space="preserve">Nevada</t>
  </si>
  <si>
    <t xml:space="preserve">636049</t>
  </si>
  <si>
    <t xml:space="preserve">2021 Battle Born</t>
  </si>
  <si>
    <t xml:space="preserve">2021-07</t>
  </si>
  <si>
    <t xml:space="preserve">gold NV outline + star cutout</t>
  </si>
  <si>
    <t xml:space="preserve">Sierra + Las Vegas skyline; back Carson City + Black Rock</t>
  </si>
  <si>
    <t xml:space="preserve">2014 bighorn/capitol through 2029</t>
  </si>
  <si>
    <t xml:space="preserve">dmv.nv.gov/dldesign.htm</t>
  </si>
  <si>
    <t xml:space="preserve">NH</t>
  </si>
  <si>
    <t xml:space="preserve">New Hampshire</t>
  </si>
  <si>
    <t xml:space="preserve">636039</t>
  </si>
  <si>
    <t xml:space="preserve">star in Old Man of the Mountain</t>
  </si>
  <si>
    <t xml:space="preserve">Granite / profile rock</t>
  </si>
  <si>
    <t xml:space="preserve">nh.gov/safety/divisions/dmv</t>
  </si>
  <si>
    <t xml:space="preserve">NJ</t>
  </si>
  <si>
    <t xml:space="preserve">New Jersey</t>
  </si>
  <si>
    <t xml:space="preserve">MVC</t>
  </si>
  <si>
    <t xml:space="preserve">636036</t>
  </si>
  <si>
    <t xml:space="preserve">2020</t>
  </si>
  <si>
    <t xml:space="preserve">Garden / shoreline guilloche</t>
  </si>
  <si>
    <t xml:space="preserve">pre-2020 to expiry</t>
  </si>
  <si>
    <t xml:space="preserve">njmvc.gov</t>
  </si>
  <si>
    <t xml:space="preserve">NM</t>
  </si>
  <si>
    <t xml:space="preserve">New Mexico</t>
  </si>
  <si>
    <t xml:space="preserve">636009</t>
  </si>
  <si>
    <t xml:space="preserve">Zia / turquoise</t>
  </si>
  <si>
    <t xml:space="preserve">mvd.newmexico.gov</t>
  </si>
  <si>
    <t xml:space="preserve">NY</t>
  </si>
  <si>
    <t xml:space="preserve">New York</t>
  </si>
  <si>
    <t xml:space="preserve">636001</t>
  </si>
  <si>
    <t xml:space="preserve">2022 security redesign + EDL</t>
  </si>
  <si>
    <t xml:space="preserve">2022-03</t>
  </si>
  <si>
    <t xml:space="preserve">serif caps</t>
  </si>
  <si>
    <t xml:space="preserve">black star in circle; EDL uses flag</t>
  </si>
  <si>
    <t xml:space="preserve">rect + wildlife icons</t>
  </si>
  <si>
    <t xml:space="preserve">ID spelled out; Issued/Expires; E/R</t>
  </si>
  <si>
    <t xml:space="preserve">Liberty / Excelsior seal wash</t>
  </si>
  <si>
    <t xml:space="preserve">2017 REAL ID cards to expiry</t>
  </si>
  <si>
    <t xml:space="preserve">dmv.ny.gov</t>
  </si>
  <si>
    <t xml:space="preserve">NC</t>
  </si>
  <si>
    <t xml:space="preserve">North Carolina</t>
  </si>
  <si>
    <t xml:space="preserve">NCDMV</t>
  </si>
  <si>
    <t xml:space="preserve">636004</t>
  </si>
  <si>
    <t xml:space="preserve">2017–2018</t>
  </si>
  <si>
    <t xml:space="preserve">Dogwood / capitol UV</t>
  </si>
  <si>
    <t xml:space="preserve">ncdot.gov/dmv</t>
  </si>
  <si>
    <t xml:space="preserve">ND</t>
  </si>
  <si>
    <t xml:space="preserve">North Dakota</t>
  </si>
  <si>
    <t xml:space="preserve">636034</t>
  </si>
  <si>
    <t xml:space="preserve">2014 REAL ID</t>
  </si>
  <si>
    <t xml:space="preserve">Prairie rose / bison</t>
  </si>
  <si>
    <t xml:space="preserve">dot.nd.gov</t>
  </si>
  <si>
    <t xml:space="preserve">OH</t>
  </si>
  <si>
    <t xml:space="preserve">Ohio</t>
  </si>
  <si>
    <t xml:space="preserve">636023</t>
  </si>
  <si>
    <t xml:space="preserve">gold star (older gold star ≠ REAL ID)</t>
  </si>
  <si>
    <t xml:space="preserve">rect / lenticular on some</t>
  </si>
  <si>
    <t xml:space="preserve">4a ISS numbered</t>
  </si>
  <si>
    <t xml:space="preserve">Buckeye / state outline</t>
  </si>
  <si>
    <t xml:space="preserve">pre-2018; caution old gold-star non-compliant</t>
  </si>
  <si>
    <t xml:space="preserve">bmv.ohio.gov</t>
  </si>
  <si>
    <t xml:space="preserve">OK</t>
  </si>
  <si>
    <t xml:space="preserve">Oklahoma</t>
  </si>
  <si>
    <t xml:space="preserve">636058</t>
  </si>
  <si>
    <t xml:space="preserve">Native America / flycatcher</t>
  </si>
  <si>
    <t xml:space="preserve">oklahoma.gov/dps</t>
  </si>
  <si>
    <t xml:space="preserve">OR</t>
  </si>
  <si>
    <t xml:space="preserve">Oregon</t>
  </si>
  <si>
    <t xml:space="preserve">636029</t>
  </si>
  <si>
    <t xml:space="preserve">Hood / fir green</t>
  </si>
  <si>
    <t xml:space="preserve">oregon.gov/odot/dmv</t>
  </si>
  <si>
    <t xml:space="preserve">PA</t>
  </si>
  <si>
    <t xml:space="preserve">Pennsylvania</t>
  </si>
  <si>
    <t xml:space="preserve">PennDOT</t>
  </si>
  <si>
    <t xml:space="preserve">636025</t>
  </si>
  <si>
    <t xml:space="preserve">2022 redesign</t>
  </si>
  <si>
    <t xml:space="preserve">2022-09</t>
  </si>
  <si>
    <t xml:space="preserve">rosette</t>
  </si>
  <si>
    <t xml:space="preserve">ISS under photo</t>
  </si>
  <si>
    <t xml:space="preserve">Keystone flip OVD</t>
  </si>
  <si>
    <t xml:space="preserve">pre-2022 to expiry</t>
  </si>
  <si>
    <t xml:space="preserve">pa.gov PennDOT new design</t>
  </si>
  <si>
    <t xml:space="preserve">RI</t>
  </si>
  <si>
    <t xml:space="preserve">Rhode Island</t>
  </si>
  <si>
    <t xml:space="preserve">636052</t>
  </si>
  <si>
    <t xml:space="preserve">Anchor / ocean</t>
  </si>
  <si>
    <t xml:space="preserve">dmv.ri.gov</t>
  </si>
  <si>
    <t xml:space="preserve">SC</t>
  </si>
  <si>
    <t xml:space="preserve">South Carolina</t>
  </si>
  <si>
    <t xml:space="preserve">SCDMV</t>
  </si>
  <si>
    <t xml:space="preserve">636005</t>
  </si>
  <si>
    <t xml:space="preserve">2025 palmetto</t>
  </si>
  <si>
    <t xml:space="preserve">2025 fall (unveiled 2025-07-29)</t>
  </si>
  <si>
    <t xml:space="preserve">DRIVER'S LICENSE</t>
  </si>
  <si>
    <t xml:space="preserve">black star</t>
  </si>
  <si>
    <t xml:space="preserve">vertical + U18/U21 dates</t>
  </si>
  <si>
    <t xml:space="preserve">ghost in state outline</t>
  </si>
  <si>
    <t xml:space="preserve">4d DL#, 1, 2, 8, 3, 15–19, 9, 9a, 12, 4a, 4b</t>
  </si>
  <si>
    <t xml:space="preserve">Statehouse, palmetto+crescent, jessamine, wren, loggerhead</t>
  </si>
  <si>
    <t xml:space="preserve">PDF417 top; 1D; class legend; turtle engraving</t>
  </si>
  <si>
    <t xml:space="preserve">pre-2025 to expiry</t>
  </si>
  <si>
    <t xml:space="preserve">dmv.sc.gov/news/new-license-designs</t>
  </si>
  <si>
    <t xml:space="preserve">SD</t>
  </si>
  <si>
    <t xml:space="preserve">South Dakota</t>
  </si>
  <si>
    <t xml:space="preserve">Driver Licensing</t>
  </si>
  <si>
    <t xml:space="preserve">636042</t>
  </si>
  <si>
    <t xml:space="preserve">2026 redesign</t>
  </si>
  <si>
    <t xml:space="preserve">2026-09 rollout</t>
  </si>
  <si>
    <t xml:space="preserve">Rushmore / prairie refresh</t>
  </si>
  <si>
    <t xml:space="preserve">2015 cards valid to expiry</t>
  </si>
  <si>
    <t xml:space="preserve">kotatv.com 2026-09-03</t>
  </si>
  <si>
    <t xml:space="preserve">TN</t>
  </si>
  <si>
    <t xml:space="preserve">Tennessee</t>
  </si>
  <si>
    <t xml:space="preserve">TDOT</t>
  </si>
  <si>
    <t xml:space="preserve">636053</t>
  </si>
  <si>
    <t xml:space="preserve">Tri-star / guitar</t>
  </si>
  <si>
    <t xml:space="preserve">tn.gov/safety</t>
  </si>
  <si>
    <t xml:space="preserve">TX</t>
  </si>
  <si>
    <t xml:space="preserve">Texas</t>
  </si>
  <si>
    <t xml:space="preserve">636015</t>
  </si>
  <si>
    <t xml:space="preserve">2025 redesign</t>
  </si>
  <si>
    <t xml:space="preserve">2025-08-18</t>
  </si>
  <si>
    <t xml:space="preserve">gold/black star</t>
  </si>
  <si>
    <t xml:space="preserve">state-outline ghost on some gens</t>
  </si>
  <si>
    <t xml:space="preserve">4d DL, 3 DOB, 9 Class stacked on U21</t>
  </si>
  <si>
    <t xml:space="preserve">Lone Star / hill country; three gens in field</t>
  </si>
  <si>
    <t xml:space="preserve">2020–2025 cards to 2033-09-01; 2009–2020 out 2026-02-24</t>
  </si>
  <si>
    <t xml:space="preserve">dps.texas.gov/section/driver-license/texas-dlid-card-designs</t>
  </si>
  <si>
    <t xml:space="preserve">UT</t>
  </si>
  <si>
    <t xml:space="preserve">Utah</t>
  </si>
  <si>
    <t xml:space="preserve">DLD</t>
  </si>
  <si>
    <t xml:space="preserve">636040</t>
  </si>
  <si>
    <t xml:space="preserve">Delicate Arch / red rock</t>
  </si>
  <si>
    <t xml:space="preserve">dld.utah.gov</t>
  </si>
  <si>
    <t xml:space="preserve">VT</t>
  </si>
  <si>
    <t xml:space="preserve">Vermont</t>
  </si>
  <si>
    <t xml:space="preserve">636024</t>
  </si>
  <si>
    <t xml:space="preserve">2016 REAL ID + EDL</t>
  </si>
  <si>
    <t xml:space="preserve">Green Mountains / maple</t>
  </si>
  <si>
    <t xml:space="preserve">dmv.vermont.gov</t>
  </si>
  <si>
    <t xml:space="preserve">VA</t>
  </si>
  <si>
    <t xml:space="preserve">Virginia</t>
  </si>
  <si>
    <t xml:space="preserve">636000</t>
  </si>
  <si>
    <t xml:space="preserve">2023 redesign</t>
  </si>
  <si>
    <t xml:space="preserve">2023-04-24</t>
  </si>
  <si>
    <t xml:space="preserve">black star in circle</t>
  </si>
  <si>
    <t xml:space="preserve">rosette ghost</t>
  </si>
  <si>
    <t xml:space="preserve">4d Customer number, 1 Name, 8 Address, 3 DOB, 9 Class, 9a End, 12 Rest, 15 Sex, 18 Eyes, 16 Height, 4a Iss, 4b Exp, 5 DD</t>
  </si>
  <si>
    <t xml:space="preserve">Blue Ridge / jeffersonian rosette; Veteran + organ donor</t>
  </si>
  <si>
    <t xml:space="preserve">pre-2023 to expiry</t>
  </si>
  <si>
    <t xml:space="preserve">dmv.virginia.gov/licenses-ids/license/applying/newlook2023</t>
  </si>
  <si>
    <t xml:space="preserve">WA</t>
  </si>
  <si>
    <t xml:space="preserve">Washington</t>
  </si>
  <si>
    <t xml:space="preserve">DOL</t>
  </si>
  <si>
    <t xml:space="preserve">636045</t>
  </si>
  <si>
    <t xml:space="preserve">2018 design + EDL</t>
  </si>
  <si>
    <t xml:space="preserve">2018-07</t>
  </si>
  <si>
    <t xml:space="preserve">gold star; EDL uses US flag near photo</t>
  </si>
  <si>
    <t xml:space="preserve">Rainier / evergreen</t>
  </si>
  <si>
    <t xml:space="preserve">2017 Feb–Jun 2018 still valid</t>
  </si>
  <si>
    <t xml:space="preserve">dol.wa.gov/driver-licenses-and-permits/driver-license-designs</t>
  </si>
  <si>
    <t xml:space="preserve">WV</t>
  </si>
  <si>
    <t xml:space="preserve">West Virginia</t>
  </si>
  <si>
    <t xml:space="preserve">636061</t>
  </si>
  <si>
    <t xml:space="preserve">New River Gorge (2023 art refresh on some)</t>
  </si>
  <si>
    <t xml:space="preserve">transportation.wv.gov</t>
  </si>
  <si>
    <t xml:space="preserve">WI</t>
  </si>
  <si>
    <t xml:space="preserve">Wisconsin</t>
  </si>
  <si>
    <t xml:space="preserve">636031</t>
  </si>
  <si>
    <t xml:space="preserve">Badger red header</t>
  </si>
  <si>
    <t xml:space="preserve">wisconsindot.gov</t>
  </si>
  <si>
    <t xml:space="preserve">WY</t>
  </si>
  <si>
    <t xml:space="preserve">Wyoming</t>
  </si>
  <si>
    <t xml:space="preserve">WYDOT</t>
  </si>
  <si>
    <t xml:space="preserve">636060</t>
  </si>
  <si>
    <t xml:space="preserve">Bucking horse / Devils Tower</t>
  </si>
  <si>
    <t xml:space="preserve">dot.state.wy.us</t>
  </si>
  <si>
    <t xml:space="preserve">PR</t>
  </si>
  <si>
    <t xml:space="preserve">Puerto Rico</t>
  </si>
  <si>
    <t xml:space="preserve">DISCO</t>
  </si>
  <si>
    <t xml:space="preserve">636028</t>
  </si>
  <si>
    <t xml:space="preserve">2015 / current</t>
  </si>
  <si>
    <t xml:space="preserve">LICENCIA DE CONDUCIR</t>
  </si>
  <si>
    <t xml:space="preserve">Turquoise / island</t>
  </si>
  <si>
    <t xml:space="preserve">disco.pr.gov</t>
  </si>
  <si>
    <t xml:space="preserve">GU</t>
  </si>
  <si>
    <t xml:space="preserve">Guam</t>
  </si>
  <si>
    <t xml:space="preserve">Rev &amp; Tax</t>
  </si>
  <si>
    <t xml:space="preserve">636019</t>
  </si>
  <si>
    <t xml:space="preserve">Pacific / latte stone wash</t>
  </si>
  <si>
    <t xml:space="preserve">guamtax.com</t>
  </si>
  <si>
    <t xml:space="preserve">VI</t>
  </si>
  <si>
    <t xml:space="preserve">U.S. Virgin Islands</t>
  </si>
  <si>
    <t xml:space="preserve">VIPD / BMV</t>
  </si>
  <si>
    <t xml:space="preserve">636062</t>
  </si>
  <si>
    <t xml:space="preserve">Caribbean teal / shoreline</t>
  </si>
  <si>
    <t xml:space="preserve">usvidmv.com</t>
  </si>
  <si>
    <t xml:space="preserve">AS</t>
  </si>
  <si>
    <t xml:space="preserve">American Samoa</t>
  </si>
  <si>
    <t xml:space="preserve">Territorial</t>
  </si>
  <si>
    <t xml:space="preserve">636027</t>
  </si>
  <si>
    <t xml:space="preserve">2024 REAL ID certified</t>
  </si>
  <si>
    <t xml:space="preserve">2024-02-14</t>
  </si>
  <si>
    <t xml:space="preserve">Pacific island wash</t>
  </si>
  <si>
    <t xml:space="preserve">pre-2024 to expiry</t>
  </si>
  <si>
    <t xml:space="preserve">REAL ID territory cert Feb 2024</t>
  </si>
  <si>
    <t xml:space="preserve">MP</t>
  </si>
  <si>
    <t xml:space="preserve">Northern Mariana Islands</t>
  </si>
  <si>
    <t xml:space="preserve">BME</t>
  </si>
  <si>
    <t xml:space="preserve">636017</t>
  </si>
  <si>
    <t xml:space="preserve">Pacific / latte wash</t>
  </si>
  <si>
    <t xml:space="preserve">cnmi BME</t>
  </si>
  <si>
    <t xml:space="preserve">Current gen</t>
  </si>
  <si>
    <t xml:space="preserve">Current year</t>
  </si>
  <si>
    <t xml:space="preserve">Previous gen 1 (still circulating)</t>
  </si>
  <si>
    <t xml:space="preserve">Prev 1 years</t>
  </si>
  <si>
    <t xml:space="preserve">Prev 1 face notes</t>
  </si>
  <si>
    <t xml:space="preserve">Previous gen 2 (legacy / sunset)</t>
  </si>
  <si>
    <t xml:space="preserve">Prev 2 years</t>
  </si>
  <si>
    <t xml:space="preserve">Prev 2 face notes</t>
  </si>
  <si>
    <t xml:space="preserve">Back change vs current</t>
  </si>
  <si>
    <t xml:space="preserve">Mag stripe on previous</t>
  </si>
  <si>
    <t xml:space="preserve">Source</t>
  </si>
  <si>
    <t xml:space="preserve">2010s REAL ID / standard</t>
  </si>
  <si>
    <t xml:space="preserve">2010–2019</t>
  </si>
  <si>
    <t xml:space="preserve">Blue header, cotton-state wash, gold star added mid-run</t>
  </si>
  <si>
    <t xml:space="preserve">2000s digitized photo card</t>
  </si>
  <si>
    <t xml:space="preserve">~2005–2010</t>
  </si>
  <si>
    <t xml:space="preserve">Older laminate, fewer OVDs</t>
  </si>
  <si>
    <t xml:space="preserve">Same 1D + PDF417 family</t>
  </si>
  <si>
    <t xml:space="preserve">yes</t>
  </si>
  <si>
    <t xml:space="preserve">Pre-REAL ID standard</t>
  </si>
  <si>
    <t xml:space="preserve">~2010–2018</t>
  </si>
  <si>
    <t xml:space="preserve">Glacier card without star</t>
  </si>
  <si>
    <t xml:space="preserve">2000s digitized</t>
  </si>
  <si>
    <t xml:space="preserve">~2004–2010</t>
  </si>
  <si>
    <t xml:space="preserve">Older laminate</t>
  </si>
  <si>
    <t xml:space="preserve">Teslin / early digital</t>
  </si>
  <si>
    <t xml:space="preserve">~2006–2014</t>
  </si>
  <si>
    <t xml:space="preserve">Pre-2014 Teslin stock, no current OVD stack</t>
  </si>
  <si>
    <t xml:space="preserve">1990s–2000s</t>
  </si>
  <si>
    <t xml:space="preserve">to ~2006</t>
  </si>
  <si>
    <t xml:space="preserve">Photo card, no PDF417 on earliest</t>
  </si>
  <si>
    <t xml:space="preserve">PDF417 added with REAL ID era</t>
  </si>
  <si>
    <t xml:space="preserve">Pre-2018 standard</t>
  </si>
  <si>
    <t xml:space="preserve">Diamond motif, no current star treatment</t>
  </si>
  <si>
    <t xml:space="preserve">2018 gold-bear</t>
  </si>
  <si>
    <t xml:space="preserve">2018–2025-09</t>
  </si>
  <si>
    <t xml:space="preserve">Gold bear + star, numbered fields, mag stripe on back, poppy / capitol family</t>
  </si>
  <si>
    <t xml:space="preserve">2010s / earlier gold-bear predecessors</t>
  </si>
  <si>
    <t xml:space="preserve">to 2018</t>
  </si>
  <si>
    <t xml:space="preserve">Earlier CA gold-bear; still seen until EXP</t>
  </si>
  <si>
    <t xml:space="preserve">2018 back has mag stripe; 2025 drops it</t>
  </si>
  <si>
    <t xml:space="preserve">2018 yes / 2025 no</t>
  </si>
  <si>
    <t xml:space="preserve">dmv.ca.gov 2025-10-01</t>
  </si>
  <si>
    <t xml:space="preserve">2016–2018 transition</t>
  </si>
  <si>
    <t xml:space="preserve">2016–2018</t>
  </si>
  <si>
    <t xml:space="preserve">Early REAL ID print run, aspen/14er</t>
  </si>
  <si>
    <t xml:space="preserve">Pre-2016 standard</t>
  </si>
  <si>
    <t xml:space="preserve">to 2016</t>
  </si>
  <si>
    <t xml:space="preserve">Older mountain card</t>
  </si>
  <si>
    <t xml:space="preserve">Pre-2017 standard</t>
  </si>
  <si>
    <t xml:space="preserve">~2010–2017</t>
  </si>
  <si>
    <t xml:space="preserve">Charter Oak without current star</t>
  </si>
  <si>
    <t xml:space="preserve">to ~2010</t>
  </si>
  <si>
    <t xml:space="preserve">Blue hen / first-state wash</t>
  </si>
  <si>
    <t xml:space="preserve">Older red-stripe DC card</t>
  </si>
  <si>
    <t xml:space="preserve">pre-2013</t>
  </si>
  <si>
    <t xml:space="preserve">Red banner, different seal treatment</t>
  </si>
  <si>
    <t xml:space="preserve">Earlier orange-grove / sunshine card</t>
  </si>
  <si>
    <t xml:space="preserve">Older laminate; mag stripe common</t>
  </si>
  <si>
    <t xml:space="preserve">2017 keeps 1D + PDF417; mag stripe phasing</t>
  </si>
  <si>
    <t xml:space="preserve">yes (phasing)</t>
  </si>
  <si>
    <t xml:space="preserve">Pre-2019 standard</t>
  </si>
  <si>
    <t xml:space="preserve">~2010–2019</t>
  </si>
  <si>
    <t xml:space="preserve">Peach / live-oak wash, earlier star treatment</t>
  </si>
  <si>
    <t xml:space="preserve">2009 rainbow card</t>
  </si>
  <si>
    <t xml:space="preserve">2009–2026</t>
  </si>
  <si>
    <t xml:space="preserve">Rainbow + island scene; longest-lived current-until-2026 US face</t>
  </si>
  <si>
    <t xml:space="preserve">Pre-2009 digitized</t>
  </si>
  <si>
    <t xml:space="preserve">to 2009</t>
  </si>
  <si>
    <t xml:space="preserve">Earlier laminate</t>
  </si>
  <si>
    <t xml:space="preserve">2026 back adds county-specific art; both have PDF417</t>
  </si>
  <si>
    <t xml:space="preserve">hidot.hawaii.gov / Kauai DMV 2026-06-29</t>
  </si>
  <si>
    <t xml:space="preserve">Sawtooth / potato-state wash</t>
  </si>
  <si>
    <t xml:space="preserve">~2007–2016</t>
  </si>
  <si>
    <t xml:space="preserve">Lincoln / prairie wash</t>
  </si>
  <si>
    <t xml:space="preserve">to ~2007</t>
  </si>
  <si>
    <t xml:space="preserve">Torch / racetrack wash</t>
  </si>
  <si>
    <t xml:space="preserve">Corn / capitol wash</t>
  </si>
  <si>
    <t xml:space="preserve">Sunflower / wheat wash</t>
  </si>
  <si>
    <t xml:space="preserve">Bluegrass / thoroughbred wash</t>
  </si>
  <si>
    <t xml:space="preserve">Pre-2014 standard</t>
  </si>
  <si>
    <t xml:space="preserve">Pelican / fleur-de-lis wash</t>
  </si>
  <si>
    <t xml:space="preserve">Pine / lighthouse; state-outline star arrives with REAL ID</t>
  </si>
  <si>
    <t xml:space="preserve">~2009–2016</t>
  </si>
  <si>
    <t xml:space="preserve">Oriole / bay wash</t>
  </si>
  <si>
    <t xml:space="preserve">to ~2009</t>
  </si>
  <si>
    <t xml:space="preserve">Cod / State House wash</t>
  </si>
  <si>
    <t xml:space="preserve">Pre-2019 standard + earlier EDL</t>
  </si>
  <si>
    <t xml:space="preserve">~2011–2019</t>
  </si>
  <si>
    <t xml:space="preserve">Great Lakes wash; EDL flag family already issued</t>
  </si>
  <si>
    <t xml:space="preserve">to ~2011</t>
  </si>
  <si>
    <t xml:space="preserve">EDL back uses US flag block + PDF417</t>
  </si>
  <si>
    <t xml:space="preserve">Pre-2018 standard + earlier EDL</t>
  </si>
  <si>
    <t xml:space="preserve">Loon / lake wash; EDL flag family already issued</t>
  </si>
  <si>
    <t xml:space="preserve">dps.mn.gov</t>
  </si>
  <si>
    <t xml:space="preserve">Pre-2015 standard</t>
  </si>
  <si>
    <t xml:space="preserve">~2008–2015</t>
  </si>
  <si>
    <t xml:space="preserve">Big Sky / bison wash</t>
  </si>
  <si>
    <t xml:space="preserve">to ~2008</t>
  </si>
  <si>
    <t xml:space="preserve">dojmt.gov</t>
  </si>
  <si>
    <t xml:space="preserve">Sandhill / capitol wash</t>
  </si>
  <si>
    <t xml:space="preserve">2014 bighorn / capitol</t>
  </si>
  <si>
    <t xml:space="preserve">2014–2021</t>
  </si>
  <si>
    <t xml:space="preserve">Desert bighorn + capitol; circulates through ~2029</t>
  </si>
  <si>
    <t xml:space="preserve">to 2014</t>
  </si>
  <si>
    <t xml:space="preserve">dmv.nv.gov</t>
  </si>
  <si>
    <t xml:space="preserve">Old Man / granite; outline + star on REAL ID</t>
  </si>
  <si>
    <t xml:space="preserve">nh.gov/safety/dmv</t>
  </si>
  <si>
    <t xml:space="preserve">Pre-2020 standard</t>
  </si>
  <si>
    <t xml:space="preserve">~2011–2020</t>
  </si>
  <si>
    <t xml:space="preserve">Garden State / shore wash</t>
  </si>
  <si>
    <t xml:space="preserve">nj.gov/mvc</t>
  </si>
  <si>
    <t xml:space="preserve">Zia / desert wash</t>
  </si>
  <si>
    <t xml:space="preserve">2017–2022</t>
  </si>
  <si>
    <t xml:space="preserve">Earlier REAL ID; Issued/Expires not yet spelled the 2022 way</t>
  </si>
  <si>
    <t xml:space="preserve">to 2017</t>
  </si>
  <si>
    <t xml:space="preserve">Older Empire State card</t>
  </si>
  <si>
    <t xml:space="preserve">2022 adds wildlife icons + commissioner signature; EDL flag on EDL stock</t>
  </si>
  <si>
    <t xml:space="preserve">Cardinal / pine wash</t>
  </si>
  <si>
    <t xml:space="preserve">~2008–2014</t>
  </si>
  <si>
    <t xml:space="preserve">Peace Garden wash</t>
  </si>
  <si>
    <t xml:space="preserve">Buckeye wash; caution: some older gold-star printings are not REAL ID-compliant</t>
  </si>
  <si>
    <t xml:space="preserve">Scissor-tail / capitol wash</t>
  </si>
  <si>
    <t xml:space="preserve">Douglas fir / Crater Lake wash</t>
  </si>
  <si>
    <t xml:space="preserve">Pre-2022 REAL ID / standard</t>
  </si>
  <si>
    <t xml:space="preserve">~2011–2022</t>
  </si>
  <si>
    <t xml:space="preserve">Earlier keystone card; no 2022 keystone-flip OVD</t>
  </si>
  <si>
    <t xml:space="preserve">2022 back keeps PDF417; OVD stack is the front change</t>
  </si>
  <si>
    <t xml:space="preserve">penndot.pa.gov</t>
  </si>
  <si>
    <t xml:space="preserve">Anchor / ocean wash</t>
  </si>
  <si>
    <t xml:space="preserve">Pre-2025 REAL ID / standard</t>
  </si>
  <si>
    <t xml:space="preserve">~2011–2025</t>
  </si>
  <si>
    <t xml:space="preserve">Earlier palmetto card; not the 2025 Statehouse / jessamine / wren / loggerhead set</t>
  </si>
  <si>
    <t xml:space="preserve">2025 back: PDF417 top, 1D, class legend, turtle engraving</t>
  </si>
  <si>
    <t xml:space="preserve">dmv.sc.gov 2025-07-29</t>
  </si>
  <si>
    <t xml:space="preserve">2015 card</t>
  </si>
  <si>
    <t xml:space="preserve">2015–2026</t>
  </si>
  <si>
    <t xml:space="preserve">Mount Rushmore / prairie face issued for 11 years</t>
  </si>
  <si>
    <t xml:space="preserve">to 2015</t>
  </si>
  <si>
    <t xml:space="preserve">dlr.sd.gov</t>
  </si>
  <si>
    <t xml:space="preserve">Volunteer / guitar / river wash</t>
  </si>
  <si>
    <t xml:space="preserve">2020–2025 family</t>
  </si>
  <si>
    <t xml:space="preserve">2020–2025</t>
  </si>
  <si>
    <t xml:space="preserve">Lone Star 2020 face; DPS: valid through 2033-09-01</t>
  </si>
  <si>
    <t xml:space="preserve">2009–2020 family</t>
  </si>
  <si>
    <t xml:space="preserve">2009–2020</t>
  </si>
  <si>
    <t xml:space="preserve">2009 face; DPS sunset 2026-02-24</t>
  </si>
  <si>
    <t xml:space="preserve">All three gens carry PDF417; 2025 is a new art family</t>
  </si>
  <si>
    <t xml:space="preserve">dps.texas.gov</t>
  </si>
  <si>
    <t xml:space="preserve">Beehive / Wasatch wash</t>
  </si>
  <si>
    <t xml:space="preserve">dmv.utah.gov</t>
  </si>
  <si>
    <t xml:space="preserve">Pre-2016 standard + earlier EDL</t>
  </si>
  <si>
    <t xml:space="preserve">Green Mountain wash; EDL flag family already issued</t>
  </si>
  <si>
    <t xml:space="preserve">Pre-2023 REAL ID / standard</t>
  </si>
  <si>
    <t xml:space="preserve">~2011–2023</t>
  </si>
  <si>
    <t xml:space="preserve">Earlier VA card; no 2023 script header or rosette ghost</t>
  </si>
  <si>
    <t xml:space="preserve">dmv.virginia.gov 2023-04-24</t>
  </si>
  <si>
    <t xml:space="preserve">2017–2018 interim</t>
  </si>
  <si>
    <t xml:space="preserve">2017-02 to 2018-06</t>
  </si>
  <si>
    <t xml:space="preserve">Short-run face still valid to EXP</t>
  </si>
  <si>
    <t xml:space="preserve">to 2017-02</t>
  </si>
  <si>
    <t xml:space="preserve">Older Evergreen card</t>
  </si>
  <si>
    <t xml:space="preserve">dol.wa.gov</t>
  </si>
  <si>
    <t xml:space="preserve">Mountain / rhododendron wash</t>
  </si>
  <si>
    <t xml:space="preserve">Badger / dairy wash</t>
  </si>
  <si>
    <t xml:space="preserve">Bucking horse wash</t>
  </si>
  <si>
    <t xml:space="preserve">Earlier DISCO card</t>
  </si>
  <si>
    <t xml:space="preserve">dtop.pr.gov</t>
  </si>
  <si>
    <t xml:space="preserve">Earlier territory card</t>
  </si>
  <si>
    <t xml:space="preserve">guamdmv.org</t>
  </si>
  <si>
    <t xml:space="preserve">vi.gov</t>
  </si>
  <si>
    <t xml:space="preserve">Pre-2024 territory card</t>
  </si>
  <si>
    <t xml:space="preserve">to 2024</t>
  </si>
  <si>
    <t xml:space="preserve">Pre-certification stock</t>
  </si>
  <si>
    <t xml:space="preserve">PDF417 required once REAL ID certified</t>
  </si>
  <si>
    <t xml:space="preserve">DHS REAL ID map 2024-02-14</t>
  </si>
  <si>
    <t xml:space="preserve">Pre-2020 territory card</t>
  </si>
  <si>
    <t xml:space="preserve">to 2020</t>
  </si>
  <si>
    <t xml:space="preserve">DHS REAL ID map</t>
  </si>
  <si>
    <t xml:space="preserve">Zone</t>
  </si>
  <si>
    <t xml:space="preserve">Official current card</t>
  </si>
  <si>
    <t xml:space="preserve">Workbench current face</t>
  </si>
  <si>
    <t xml:space="preserve">Score /10</t>
  </si>
  <si>
    <t xml:space="preserve">What the score means</t>
  </si>
  <si>
    <t xml:space="preserve">AAMVA Zone I header</t>
  </si>
  <si>
    <t xml:space="preserve">State name + DRIVER LICENSE / IDENTIFICATION CARD + REAL ID mark + agency line</t>
  </si>
  <si>
    <t xml:space="preserve">Per-jurisdiction agency, title, header typography (script/serif/sans), REAL ID mark variants</t>
  </si>
  <si>
    <t xml:space="preserve">Matches published field order and title. Does not clone a state's official wordmark artwork.</t>
  </si>
  <si>
    <t xml:space="preserve">AAMVA Zone II data</t>
  </si>
  <si>
    <t xml:space="preserve">ISO 18013-1 numbered fields 1,2,3,4a,4b,4d,5,8,9,9a,12,15–19</t>
  </si>
  <si>
    <t xml:space="preserve">Same numbered set drawn; NY 2022 path spells Issued/Expires</t>
  </si>
  <si>
    <t xml:space="preserve">Field inventory matches CA 2025 / VA 2023 / SC 2025 published samples.</t>
  </si>
  <si>
    <t xml:space="preserve">AAMVA Zone III portrait</t>
  </si>
  <si>
    <t xml:space="preserve">Left photo, signature under photo, ghost / secondary image</t>
  </si>
  <si>
    <t xml:space="preserve">Left photo, signature (Great Vibes or drawn pad), rectangular or rosette ghost</t>
  </si>
  <si>
    <t xml:space="preserve">Placement matches. Ghost is a reduced portrait, not a jurisdiction kinegram.</t>
  </si>
  <si>
    <t xml:space="preserve">AAMVA Zone IV dates / endorsements</t>
  </si>
  <si>
    <t xml:space="preserve">ISS, EXP, class, restrictions, endorsements</t>
  </si>
  <si>
    <t xml:space="preserve">4a ISS, 4b EXP, 8 class, 9 restrictions, 9a endorsements, 12 DD, 15–19 physical</t>
  </si>
  <si>
    <t xml:space="preserve">Data is live from the form and encodes into Annex D.</t>
  </si>
  <si>
    <t xml:space="preserve">AAMVA Zone V back</t>
  </si>
  <si>
    <t xml:space="preserve">PDF417 mandatory on REAL ID; 1D of DLN common; mag stripe common except CA 2025</t>
  </si>
  <si>
    <t xml:space="preserve">Mag stripe (off for CA), Code 128 DLN, PDF417, CLASS/END/REST, ghost, inventory Code 128, IIN</t>
  </si>
  <si>
    <t xml:space="preserve">Structure matches published backs. PDF417 payload is the proven Annex D encoder.</t>
  </si>
  <si>
    <t xml:space="preserve">Current vs previous generation</t>
  </si>
  <si>
    <t xml:space="preserve">Each DMV issues one current face; older faces remain legal to printed EXP</t>
  </si>
  <si>
    <t xml:space="preserve">Current face only is drawn. Previous gens are catalogued on Previous Faces, not a second plate</t>
  </si>
  <si>
    <t xml:space="preserve">Catalog is complete. The printer does not yet swap art packs by generation year.</t>
  </si>
  <si>
    <t xml:space="preserve">State uniqueness of front art</t>
  </si>
  <si>
    <t xml:space="preserve">56 unique official scenic / seal / OVD designs</t>
  </si>
  <si>
    <t xml:space="preserve">16 original regional plates + header/motif/REAL ID variant per jurisdiction</t>
  </si>
  <si>
    <t xml:space="preserve">Readable as that state. Not a 1:1 reprint of each DMV's artwork.</t>
  </si>
  <si>
    <t xml:space="preserve">OVD / hologram / OVI</t>
  </si>
  <si>
    <t xml:space="preserve">Jurisdiction-owned kinegrams, UV inks, laser engraving, tactile DOB, window</t>
  </si>
  <si>
    <t xml:space="preserve">Original OVI strip, original OVD window over ghost, laser-perf dots, guilloche, microprint</t>
  </si>
  <si>
    <t xml:space="preserve">Security language is present. Official hologram art is not reproduced.</t>
  </si>
  <si>
    <t xml:space="preserve">Under-21</t>
  </si>
  <si>
    <t xml:space="preserve">Vertical CR80 in nearly every jurisdiction; AZ may stay vertical past 21</t>
  </si>
  <si>
    <t xml:space="preserve">Auto-vertical from DOB; UNDER 21 UNTIL banner</t>
  </si>
  <si>
    <t xml:space="preserve">Behavior matches AAMVA practice.</t>
  </si>
  <si>
    <t xml:space="preserve">Print</t>
  </si>
  <si>
    <t xml:space="preserve">Polycarbonate / Teslin CR80 at plant DPI with embedded OVDs</t>
  </si>
  <si>
    <t xml:space="preserve">600 dpi PNG both sides, 3.375 × 2.125 in, SPECIMEN on portrait</t>
  </si>
  <si>
    <t xml:space="preserve">Printable specimen at card size. Not plant-stock with embedded OVDs.</t>
  </si>
  <si>
    <t xml:space="preserve">PDF417 scan</t>
  </si>
  <si>
    <t xml:space="preserve">ISO/IEC 15438 on card back, readable by AAMVA / law-enforcement scanners</t>
  </si>
  <si>
    <t xml:space="preserve">bwip-js encode + ZXing decode; VA 60/60; all 56 IINs + license patterns</t>
  </si>
  <si>
    <t xml:space="preserve">This layer is done.</t>
  </si>
  <si>
    <t xml:space="preserve">Side</t>
  </si>
  <si>
    <t xml:space="preserve">Contents</t>
  </si>
  <si>
    <t xml:space="preserve">ISO numbers used on US cards</t>
  </si>
  <si>
    <t xml:space="preserve">I</t>
  </si>
  <si>
    <t xml:space="preserve">Front top</t>
  </si>
  <si>
    <t xml:space="preserve">Issuing authority + document type + USA</t>
  </si>
  <si>
    <t xml:space="preserve">II</t>
  </si>
  <si>
    <t xml:space="preserve">Front right of photo</t>
  </si>
  <si>
    <t xml:space="preserve">Name, address, dates, physicals, class/end/rest, DD</t>
  </si>
  <si>
    <t xml:space="preserve">1 LN, 2 FN, 3 DOB, 4a ISS, 4b EXP, 4d DLN, 5 DD, 8 ADDR, 9 CLASS, 9a END, 12 REST, 15 SEX, 16 HGT, 17 WGT, 18 EYES, 19 HAIR</t>
  </si>
  <si>
    <t xml:space="preserve">III</t>
  </si>
  <si>
    <t xml:space="preserve">Front left</t>
  </si>
  <si>
    <t xml:space="preserve">Primary portrait</t>
  </si>
  <si>
    <t xml:space="preserve">IV</t>
  </si>
  <si>
    <t xml:space="preserve">Front under photo</t>
  </si>
  <si>
    <t xml:space="preserve">Signature</t>
  </si>
  <si>
    <t xml:space="preserve">V</t>
  </si>
  <si>
    <t xml:space="preserve">Front right / lower</t>
  </si>
  <si>
    <t xml:space="preserve">Ghost / secondary portrait</t>
  </si>
  <si>
    <t xml:space="preserve">Back top or mid</t>
  </si>
  <si>
    <t xml:space="preserve">PDF417 (ISO/IEC 15438) — REAL ID required machine-readable zone</t>
  </si>
  <si>
    <t xml:space="preserve">Annex D header @ LF RS CR ANSI + IIN + AAMVA version</t>
  </si>
  <si>
    <t xml:space="preserve">Optional 1D of inventory / license no.; magnetic stripe being dropped (CA 2025)</t>
  </si>
  <si>
    <t xml:space="preserve">Front</t>
  </si>
  <si>
    <t xml:space="preserve">Vertical orientation in most jurisdictions; Arizona may keep vertical to 65</t>
  </si>
  <si>
    <t xml:space="preserve">UNDER 21 UNTIL date band</t>
  </si>
  <si>
    <t xml:space="preserve">REAL ID</t>
  </si>
  <si>
    <t xml:space="preserve">Front upper right</t>
  </si>
  <si>
    <t xml:space="preserve">Gold or black star; CA bear-star; ME/MI/NV map-star; NH Old Man; EDL uses US flag</t>
  </si>
  <si>
    <t xml:space="preserve">6 CFR 37.17</t>
  </si>
  <si>
    <t xml:space="preserve">Year</t>
  </si>
  <si>
    <t xml:space="preserve">What changed</t>
  </si>
  <si>
    <t xml:space="preserve">2026-09</t>
  </si>
  <si>
    <t xml:space="preserve">Statewide face + security refresh; old cards valid to expiry</t>
  </si>
  <si>
    <t xml:space="preserve">KOTA / SD Driver Licensing</t>
  </si>
  <si>
    <t xml:space="preserve">2026</t>
  </si>
  <si>
    <t xml:space="preserve">First redesign since 2009; laser-engraved B/W photo; rainbow + islands + flag; back state fish + reef</t>
  </si>
  <si>
    <t xml:space="preserve">Kauai County DMV 2026-06-29</t>
  </si>
  <si>
    <t xml:space="preserve">Landscape redwood/coast; gold bear-star; numbered ISO fields; no magnetic stripe</t>
  </si>
  <si>
    <t xml:space="preserve">dmv.ca.gov</t>
  </si>
  <si>
    <t xml:space="preserve">New DL/ID family; previous 2020 design circulates to 2033-09-01; 2009 design out 2026-02-24</t>
  </si>
  <si>
    <t xml:space="preserve">2025-07-29 unveil / fall issue</t>
  </si>
  <si>
    <t xml:space="preserve">Palmetto, Statehouse, jessamine, wren, loggerhead; 40+ security features; U21 vertical</t>
  </si>
  <si>
    <t xml:space="preserve">dmv.sc.gov</t>
  </si>
  <si>
    <t xml:space="preserve">Territory REAL ID certified</t>
  </si>
  <si>
    <t xml:space="preserve">Script Virginia; rosette ghost; 4d customer number; Veteran + organ donor</t>
  </si>
  <si>
    <t xml:space="preserve">dmv.virginia.gov</t>
  </si>
  <si>
    <t xml:space="preserve">Keystone OVD flip; new security stack</t>
  </si>
  <si>
    <t xml:space="preserve">Security redesign; spelled Issued/Expires; wildlife icons; commissioner signature</t>
  </si>
  <si>
    <t xml:space="preserve">NY DMV</t>
  </si>
  <si>
    <t xml:space="preserve">Battle Born; Sierra + Vegas; gold NV outline star</t>
  </si>
  <si>
    <t xml:space="preserve">Current standard + EDL family still issued</t>
  </si>
  <si>
    <t xml:space="preserve">How to read this catalog</t>
  </si>
  <si>
    <t xml:space="preserve">56 rows = 50 states + DC + PR + GU + VI + AS + MP. That is the full AAMVA US membership set the barcode workbench encodes.</t>
  </si>
  <si>
    <t xml:space="preserve">Current generation = the face a jurisdiction is issuing today. Older faces stay legal until printed EXP.</t>
  </si>
  <si>
    <t xml:space="preserve">ISO numbers on the face (1, 2, 3, 4a, 4b, 4d, 5, 8, 9, 9a, 12, 15–19) are AAMVA CDS / ISO 18013-1 Zone II labels. CA 2025, VA 2023, SC 2025 print them. NY 2022 spells Issued/Expires instead.</t>
  </si>
  <si>
    <t xml:space="preserve">PDF417 on the back is mandatory for REAL ID (6 CFR 37.19 → ISO/IEC 15438). Encoder already proven: Virginia 60/60 Annex D + image round-trip; all 56 IINs encode.</t>
  </si>
  <si>
    <t xml:space="preserve">REAL ID mark variants that actually exist: gold or black star-in-circle (most); CA gold bear + star; ME/MI/NV gold state outline + star; NH Old Man + star; EDL (WA, NY, MI, MN, VT) uses a US flag near the photo instead of or with the star.</t>
  </si>
  <si>
    <t xml:space="preserve">U21 is vertical in almost every jurisdiction. Arizona may keep a vertical card in force past 21 until a later expiry.</t>
  </si>
  <si>
    <t xml:space="preserve">Official sample images used as layout reference (public DMV releases): CA 2025, VA 2023, NY 2022, SC 2025. TX 2025 and FL 2017 published on DPS / FLHSMV pages.</t>
  </si>
  <si>
    <t xml:space="preserve">Card stock in the workbench is original scenic security paper mapped by region, with AAMVA Zone I–V chrome drawn on top. SPECIMEN strip on the portrait stays.</t>
  </si>
  <si>
    <t xml:space="preserve">Previous Faces lists two prior generations per jurisdiction. Gen 1 is the face still seen in the wild until printed EXP. Gen 2 is the legacy / sunset face.</t>
  </si>
  <si>
    <t xml:space="preserve">The workbench prints the Current Faces row only. Previous Faces is the inventory for a second art pack; it is not a second drawable plate yet.</t>
  </si>
  <si>
    <t xml:space="preserve">Quality score is the honest zone-by-zone grade of the workbench against the published current official card, not a claim that official holograms were copied.</t>
  </si>
  <si>
    <t xml:space="preserve">Workstream 1 — Specimen layout: CR80 measurements, zone pixels at 300 dpi, ISO field order, U21 rule, REAL ID mark variants, back stack. SPECIMEN stays on the portrait.</t>
  </si>
  <si>
    <t xml:space="preserve">Workstream 2 — Barcode tooling: 25 checks from Annex D header through ZXing round-trip, compact PDF417 toggle, payload / PNG / 600 dpi exports.</t>
  </si>
  <si>
    <t xml:space="preserve">Workstream 3 — Generation catalog: Current Faces (56) + Previous Faces (56 × two prior gens) + Newest generations. No second official art plate.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</si>
</sst>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F4EFE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A1A1A"/>
      <name val="Calibri"/>
      <family val="0"/>
      <charset val="1"/>
    </font>
    <font>
      <b val="true"/>
      <sz val="16"/>
      <color rgb="FF1A2744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1A2744"/>
      </patternFill>
    </fill>
    <fill>
      <patternFill patternType="solid">
        <fgColor rgb="FFF3EEE2"/>
        <bgColor rgb="FFF4EFE4"/>
      </patternFill>
    </fill>
    <fill>
      <patternFill patternType="solid">
        <fgColor rgb="FFFFFFFF"/>
        <bgColor rgb="FFF4F0E8"/>
      </patternFill>
    </fill>
    <fill>
      <patternFill patternType="solid">
        <fgColor rgb="FF1A2744"/>
        <bgColor rgb="FF1B2A4A"/>
      </patternFill>
    </fill>
    <fill>
      <patternFill patternType="solid">
        <fgColor rgb="FFF4F0E8"/>
        <bgColor rgb="FFF4EFE4"/>
      </patternFill>
    </fill>
    <fill>
      <patternFill patternType="solid">
        <fgColor rgb="FFE4F0D8"/>
        <bgColor rgb="FFF3EEE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BBF"/>
      </left>
      <right style="thin">
        <color rgb="FFD0CBBF"/>
      </right>
      <top style="thin">
        <color rgb="FFD0CBBF"/>
      </top>
      <bottom style="thin">
        <color rgb="FFD0CBBF"/>
      </bottom>
      <diagonal/>
    </border>
    <border diagonalUp="false" diagonalDown="false">
      <left style="thin">
        <color rgb="FFD6D1C4"/>
      </left>
      <right style="thin">
        <color rgb="FFD6D1C4"/>
      </right>
      <top style="thin">
        <color rgb="FFD6D1C4"/>
      </top>
      <bottom style="thin">
        <color rgb="FFD6D1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3EEE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1A2744"/>
          <bgColor rgb="FF000000"/>
        </patternFill>
      </fill>
    </dxf>
    <dxf>
      <fill>
        <patternFill patternType="solid">
          <fgColor rgb="FFE4F0D8"/>
          <bgColor rgb="FF000000"/>
        </patternFill>
      </fill>
    </dxf>
    <dxf>
      <fill>
        <patternFill patternType="solid">
          <fgColor rgb="FFF4F0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4EF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BBF"/>
      <rgbColor rgb="FF808080"/>
      <rgbColor rgb="FF9999FF"/>
      <rgbColor rgb="FF993366"/>
      <rgbColor rgb="FFF4EFE4"/>
      <rgbColor rgb="FFF4F0E8"/>
      <rgbColor rgb="FF660066"/>
      <rgbColor rgb="FFFF8080"/>
      <rgbColor rgb="FF0066CC"/>
      <rgbColor rgb="FFD6D1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EE2"/>
      <rgbColor rgb="FFE4F0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4A35A"/>
      <rgbColor rgb="FF1A2744"/>
      <rgbColor rgb="FF339966"/>
      <rgbColor rgb="FF003300"/>
      <rgbColor rgb="FF1A1A1A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6"/>
    <col collapsed="false" customWidth="true" hidden="false" outlineLevel="0" max="3" min="3" style="1" width="28"/>
    <col collapsed="false" customWidth="true" hidden="false" outlineLevel="0" max="4" min="4" style="1" width="52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1.75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21.75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</row>
    <row r="4" customFormat="false" ht="21.75" hidden="false" customHeight="tru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21.75" hidden="false" customHeight="true" outlineLevel="0" collapsed="false">
      <c r="A5" s="4" t="s">
        <v>16</v>
      </c>
      <c r="B5" s="4" t="s">
        <v>17</v>
      </c>
      <c r="C5" s="4" t="s">
        <v>10</v>
      </c>
      <c r="D5" s="4" t="s">
        <v>18</v>
      </c>
    </row>
    <row r="6" customFormat="false" ht="21.75" hidden="false" customHeight="true" outlineLevel="0" collapsed="false">
      <c r="A6" s="3" t="s">
        <v>19</v>
      </c>
      <c r="B6" s="3" t="s">
        <v>20</v>
      </c>
      <c r="C6" s="3" t="s">
        <v>10</v>
      </c>
      <c r="D6" s="3" t="s">
        <v>21</v>
      </c>
    </row>
    <row r="7" customFormat="false" ht="21.75" hidden="false" customHeight="true" outlineLevel="0" collapsed="false">
      <c r="A7" s="4" t="s">
        <v>22</v>
      </c>
      <c r="B7" s="4" t="s">
        <v>23</v>
      </c>
      <c r="C7" s="4" t="s">
        <v>24</v>
      </c>
      <c r="D7" s="4" t="s">
        <v>25</v>
      </c>
    </row>
    <row r="8" customFormat="false" ht="21.75" hidden="false" customHeight="true" outlineLevel="0" collapsed="false">
      <c r="A8" s="3" t="s">
        <v>26</v>
      </c>
      <c r="B8" s="3" t="s">
        <v>27</v>
      </c>
      <c r="C8" s="3" t="s">
        <v>28</v>
      </c>
      <c r="D8" s="3" t="s">
        <v>29</v>
      </c>
    </row>
    <row r="9" customFormat="false" ht="21.75" hidden="false" customHeight="true" outlineLevel="0" collapsed="false">
      <c r="A9" s="4" t="s">
        <v>30</v>
      </c>
      <c r="B9" s="4" t="s">
        <v>31</v>
      </c>
      <c r="C9" s="4" t="s">
        <v>10</v>
      </c>
      <c r="D9" s="4" t="s">
        <v>32</v>
      </c>
    </row>
    <row r="10" customFormat="false" ht="21.75" hidden="false" customHeight="true" outlineLevel="0" collapsed="false">
      <c r="A10" s="3" t="s">
        <v>33</v>
      </c>
      <c r="B10" s="3" t="s">
        <v>34</v>
      </c>
      <c r="C10" s="3" t="s">
        <v>28</v>
      </c>
      <c r="D10" s="3" t="s">
        <v>35</v>
      </c>
    </row>
    <row r="11" customFormat="false" ht="21.75" hidden="false" customHeight="true" outlineLevel="0" collapsed="false">
      <c r="A11" s="4" t="s">
        <v>36</v>
      </c>
      <c r="B11" s="4" t="s">
        <v>37</v>
      </c>
      <c r="C11" s="4" t="s">
        <v>28</v>
      </c>
      <c r="D11" s="4" t="s">
        <v>38</v>
      </c>
    </row>
    <row r="12" customFormat="false" ht="21.75" hidden="false" customHeight="true" outlineLevel="0" collapsed="false">
      <c r="A12" s="3" t="s">
        <v>39</v>
      </c>
      <c r="B12" s="3" t="s">
        <v>40</v>
      </c>
      <c r="C12" s="3" t="s">
        <v>28</v>
      </c>
      <c r="D12" s="3" t="s">
        <v>41</v>
      </c>
    </row>
    <row r="13" customFormat="false" ht="21.75" hidden="false" customHeight="true" outlineLevel="0" collapsed="false">
      <c r="A13" s="4" t="s">
        <v>42</v>
      </c>
      <c r="B13" s="4" t="s">
        <v>43</v>
      </c>
      <c r="C13" s="4" t="s">
        <v>44</v>
      </c>
      <c r="D13" s="4" t="s">
        <v>45</v>
      </c>
    </row>
    <row r="14" customFormat="false" ht="21.75" hidden="false" customHeight="true" outlineLevel="0" collapsed="false">
      <c r="A14" s="3" t="s">
        <v>46</v>
      </c>
      <c r="B14" s="3" t="s">
        <v>47</v>
      </c>
      <c r="C14" s="3" t="s">
        <v>48</v>
      </c>
      <c r="D14" s="3" t="s">
        <v>49</v>
      </c>
    </row>
    <row r="15" customFormat="false" ht="21.75" hidden="false" customHeight="true" outlineLevel="0" collapsed="false">
      <c r="A15" s="4" t="s">
        <v>50</v>
      </c>
      <c r="B15" s="4" t="s">
        <v>51</v>
      </c>
      <c r="C15" s="4" t="s">
        <v>52</v>
      </c>
      <c r="D15" s="4" t="s">
        <v>53</v>
      </c>
    </row>
    <row r="16" customFormat="false" ht="21.75" hidden="false" customHeight="true" outlineLevel="0" collapsed="false">
      <c r="A16" s="3" t="s">
        <v>54</v>
      </c>
      <c r="B16" s="3" t="s">
        <v>55</v>
      </c>
      <c r="C16" s="3" t="s">
        <v>56</v>
      </c>
      <c r="D16" s="3" t="s">
        <v>57</v>
      </c>
    </row>
    <row r="17" customFormat="false" ht="21.75" hidden="false" customHeight="true" outlineLevel="0" collapsed="false">
      <c r="A17" s="4" t="s">
        <v>58</v>
      </c>
      <c r="B17" s="4" t="s">
        <v>59</v>
      </c>
      <c r="C17" s="4" t="s">
        <v>60</v>
      </c>
      <c r="D17" s="4" t="s">
        <v>61</v>
      </c>
    </row>
    <row r="18" customFormat="false" ht="21.75" hidden="false" customHeight="true" outlineLevel="0" collapsed="false">
      <c r="A18" s="3" t="s">
        <v>62</v>
      </c>
      <c r="B18" s="3" t="s">
        <v>63</v>
      </c>
      <c r="C18" s="3" t="s">
        <v>60</v>
      </c>
      <c r="D18" s="3"/>
    </row>
    <row r="19" customFormat="false" ht="21.75" hidden="false" customHeight="true" outlineLevel="0" collapsed="false">
      <c r="A19" s="4" t="s">
        <v>64</v>
      </c>
      <c r="B19" s="4" t="s">
        <v>65</v>
      </c>
      <c r="C19" s="4" t="s">
        <v>66</v>
      </c>
      <c r="D19" s="4"/>
    </row>
    <row r="20" customFormat="false" ht="21.75" hidden="false" customHeight="true" outlineLevel="0" collapsed="false">
      <c r="A20" s="3" t="s">
        <v>67</v>
      </c>
      <c r="B20" s="3" t="s">
        <v>65</v>
      </c>
      <c r="C20" s="3" t="s">
        <v>68</v>
      </c>
      <c r="D20" s="3"/>
    </row>
    <row r="21" customFormat="false" ht="21.75" hidden="false" customHeight="true" outlineLevel="0" collapsed="false">
      <c r="A21" s="4" t="s">
        <v>69</v>
      </c>
      <c r="B21" s="4" t="s">
        <v>70</v>
      </c>
      <c r="C21" s="4" t="s">
        <v>71</v>
      </c>
      <c r="D21" s="4"/>
    </row>
    <row r="22" customFormat="false" ht="21.75" hidden="false" customHeight="true" outlineLevel="0" collapsed="false">
      <c r="A22" s="3" t="s">
        <v>72</v>
      </c>
      <c r="B22" s="3" t="s">
        <v>70</v>
      </c>
      <c r="C22" s="3" t="s">
        <v>73</v>
      </c>
      <c r="D22" s="3"/>
    </row>
    <row r="23" customFormat="false" ht="21.75" hidden="false" customHeight="true" outlineLevel="0" collapsed="false">
      <c r="A23" s="4" t="s">
        <v>74</v>
      </c>
      <c r="B23" s="4" t="s">
        <v>70</v>
      </c>
      <c r="C23" s="4" t="s">
        <v>73</v>
      </c>
      <c r="D23" s="4"/>
    </row>
    <row r="24" customFormat="false" ht="21.75" hidden="false" customHeight="true" outlineLevel="0" collapsed="false">
      <c r="A24" s="3" t="s">
        <v>75</v>
      </c>
      <c r="B24" s="3" t="s">
        <v>76</v>
      </c>
      <c r="C24" s="3" t="s">
        <v>77</v>
      </c>
      <c r="D24" s="3"/>
    </row>
    <row r="25" customFormat="false" ht="21.75" hidden="false" customHeight="true" outlineLevel="0" collapsed="false">
      <c r="A25" s="4" t="s">
        <v>78</v>
      </c>
      <c r="B25" s="4" t="s">
        <v>79</v>
      </c>
      <c r="C25" s="4" t="s">
        <v>60</v>
      </c>
      <c r="D25" s="4"/>
    </row>
    <row r="26" customFormat="false" ht="21.75" hidden="false" customHeight="true" outlineLevel="0" collapsed="false">
      <c r="A26" s="3" t="s">
        <v>80</v>
      </c>
      <c r="B26" s="3" t="s">
        <v>81</v>
      </c>
      <c r="C26" s="3" t="s">
        <v>82</v>
      </c>
      <c r="D26" s="3" t="s">
        <v>83</v>
      </c>
    </row>
    <row r="27" customFormat="false" ht="21.75" hidden="false" customHeight="true" outlineLevel="0" collapsed="false">
      <c r="A27" s="4" t="s">
        <v>84</v>
      </c>
      <c r="B27" s="4" t="s">
        <v>85</v>
      </c>
      <c r="C27" s="4" t="s">
        <v>86</v>
      </c>
      <c r="D27" s="4" t="s">
        <v>87</v>
      </c>
    </row>
    <row r="28" customFormat="false" ht="21.75" hidden="false" customHeight="true" outlineLevel="0" collapsed="false">
      <c r="A28" s="3" t="s">
        <v>88</v>
      </c>
      <c r="B28" s="3" t="s">
        <v>89</v>
      </c>
      <c r="C28" s="3" t="s">
        <v>90</v>
      </c>
      <c r="D28" s="3" t="s">
        <v>91</v>
      </c>
    </row>
    <row r="29" customFormat="false" ht="21.75" hidden="false" customHeight="true" outlineLevel="0" collapsed="false">
      <c r="A29" s="4" t="s">
        <v>92</v>
      </c>
      <c r="B29" s="4" t="s">
        <v>93</v>
      </c>
      <c r="C29" s="4" t="s">
        <v>94</v>
      </c>
      <c r="D29" s="4"/>
    </row>
    <row r="30" customFormat="false" ht="21.75" hidden="false" customHeight="true" outlineLevel="0" collapsed="false">
      <c r="A30" s="3" t="s">
        <v>95</v>
      </c>
      <c r="B30" s="3" t="s">
        <v>96</v>
      </c>
      <c r="C30" s="3" t="s">
        <v>97</v>
      </c>
      <c r="D30" s="3"/>
    </row>
    <row r="31" customFormat="false" ht="21.75" hidden="false" customHeight="true" outlineLevel="0" collapsed="false">
      <c r="A31" s="4" t="s">
        <v>98</v>
      </c>
      <c r="B31" s="4" t="s">
        <v>99</v>
      </c>
      <c r="C31" s="4"/>
      <c r="D31" s="4"/>
    </row>
    <row r="32" customFormat="false" ht="21.75" hidden="false" customHeight="true" outlineLevel="0" collapsed="false">
      <c r="A32" s="3" t="s">
        <v>100</v>
      </c>
      <c r="B32" s="3" t="s">
        <v>101</v>
      </c>
      <c r="C32" s="3"/>
      <c r="D32" s="3"/>
    </row>
    <row r="33" customFormat="false" ht="21.75" hidden="false" customHeight="true" outlineLevel="0" collapsed="false">
      <c r="A33" s="4" t="s">
        <v>102</v>
      </c>
      <c r="B33" s="4" t="s">
        <v>103</v>
      </c>
      <c r="C33" s="4" t="s">
        <v>104</v>
      </c>
      <c r="D33" s="4" t="s">
        <v>105</v>
      </c>
    </row>
    <row r="34" customFormat="false" ht="21.75" hidden="false" customHeight="true" outlineLevel="0" collapsed="false">
      <c r="A34" s="3" t="s">
        <v>106</v>
      </c>
      <c r="B34" s="3" t="s">
        <v>107</v>
      </c>
      <c r="C34" s="3" t="s">
        <v>108</v>
      </c>
      <c r="D34" s="3" t="s">
        <v>109</v>
      </c>
    </row>
    <row r="35" customFormat="false" ht="21.75" hidden="false" customHeight="true" outlineLevel="0" collapsed="false">
      <c r="A35" s="4" t="s">
        <v>110</v>
      </c>
      <c r="B35" s="4" t="s">
        <v>111</v>
      </c>
      <c r="C35" s="4" t="s">
        <v>112</v>
      </c>
      <c r="D35" s="4"/>
    </row>
    <row r="36" customFormat="false" ht="21.75" hidden="false" customHeight="true" outlineLevel="0" collapsed="false">
      <c r="A36" s="3" t="s">
        <v>113</v>
      </c>
      <c r="B36" s="3" t="s">
        <v>114</v>
      </c>
      <c r="C36" s="3" t="s">
        <v>115</v>
      </c>
      <c r="D36" s="3"/>
    </row>
    <row r="37" customFormat="false" ht="21.75" hidden="false" customHeight="true" outlineLevel="0" collapsed="false">
      <c r="A37" s="4" t="s">
        <v>116</v>
      </c>
      <c r="B37" s="4" t="s">
        <v>117</v>
      </c>
      <c r="C37" s="4"/>
      <c r="D37" s="4"/>
    </row>
    <row r="38" customFormat="false" ht="21.75" hidden="false" customHeight="true" outlineLevel="0" collapsed="false">
      <c r="A38" s="3" t="s">
        <v>118</v>
      </c>
      <c r="B38" s="3" t="s">
        <v>119</v>
      </c>
      <c r="C38" s="3" t="s">
        <v>120</v>
      </c>
      <c r="D38" s="3"/>
    </row>
    <row r="39" customFormat="false" ht="21.75" hidden="false" customHeight="true" outlineLevel="0" collapsed="false">
      <c r="A39" s="4" t="s">
        <v>121</v>
      </c>
      <c r="B39" s="4" t="s">
        <v>122</v>
      </c>
      <c r="C39" s="4" t="s">
        <v>123</v>
      </c>
      <c r="D39" s="4"/>
    </row>
  </sheetData>
  <autoFilter ref="A1:D39"/>
  <printOptions headings="false" gridLines="false" gridLinesSet="true" horizontalCentered="false" verticalCentered="false"/>
  <pageMargins left="0.75" right="0.75" top="1" bottom="1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36"/>
    <col collapsed="false" customWidth="true" hidden="false" outlineLevel="0" max="4" min="4" style="1" width="44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" t="s">
        <v>124</v>
      </c>
      <c r="B1" s="2" t="s">
        <v>125</v>
      </c>
      <c r="C1" s="2" t="s">
        <v>126</v>
      </c>
      <c r="D1" s="2" t="s">
        <v>127</v>
      </c>
      <c r="E1" s="2" t="s">
        <v>128</v>
      </c>
    </row>
    <row r="2" customFormat="false" ht="24" hidden="false" customHeight="true" outlineLevel="0" collapsed="false">
      <c r="A2" s="3" t="s">
        <v>129</v>
      </c>
      <c r="B2" s="3" t="s">
        <v>130</v>
      </c>
      <c r="C2" s="3" t="s">
        <v>131</v>
      </c>
      <c r="D2" s="3" t="s">
        <v>132</v>
      </c>
      <c r="E2" s="3" t="s">
        <v>133</v>
      </c>
    </row>
    <row r="3" customFormat="false" ht="24" hidden="false" customHeight="true" outlineLevel="0" collapsed="false">
      <c r="A3" s="4" t="s">
        <v>134</v>
      </c>
      <c r="B3" s="4" t="s">
        <v>130</v>
      </c>
      <c r="C3" s="4" t="s">
        <v>135</v>
      </c>
      <c r="D3" s="4" t="s">
        <v>136</v>
      </c>
      <c r="E3" s="4" t="s">
        <v>137</v>
      </c>
    </row>
    <row r="4" customFormat="false" ht="24" hidden="false" customHeight="true" outlineLevel="0" collapsed="false">
      <c r="A4" s="3" t="s">
        <v>138</v>
      </c>
      <c r="B4" s="3" t="s">
        <v>130</v>
      </c>
      <c r="C4" s="3" t="s">
        <v>139</v>
      </c>
      <c r="D4" s="3" t="s">
        <v>140</v>
      </c>
      <c r="E4" s="3" t="s">
        <v>137</v>
      </c>
    </row>
    <row r="5" customFormat="false" ht="24" hidden="false" customHeight="true" outlineLevel="0" collapsed="false">
      <c r="A5" s="4" t="s">
        <v>141</v>
      </c>
      <c r="B5" s="4" t="s">
        <v>142</v>
      </c>
      <c r="C5" s="4" t="s">
        <v>143</v>
      </c>
      <c r="D5" s="4" t="s">
        <v>144</v>
      </c>
      <c r="E5" s="4" t="s">
        <v>137</v>
      </c>
    </row>
    <row r="6" customFormat="false" ht="24" hidden="false" customHeight="true" outlineLevel="0" collapsed="false">
      <c r="A6" s="3" t="s">
        <v>145</v>
      </c>
      <c r="B6" s="3" t="s">
        <v>146</v>
      </c>
      <c r="C6" s="3" t="s">
        <v>147</v>
      </c>
      <c r="D6" s="3" t="s">
        <v>148</v>
      </c>
      <c r="E6" s="3" t="s">
        <v>137</v>
      </c>
    </row>
    <row r="7" customFormat="false" ht="24" hidden="false" customHeight="true" outlineLevel="0" collapsed="false">
      <c r="A7" s="4" t="s">
        <v>149</v>
      </c>
      <c r="B7" s="4" t="s">
        <v>146</v>
      </c>
      <c r="C7" s="4" t="s">
        <v>150</v>
      </c>
      <c r="D7" s="4" t="s">
        <v>151</v>
      </c>
      <c r="E7" s="4" t="s">
        <v>137</v>
      </c>
    </row>
    <row r="8" customFormat="false" ht="24" hidden="false" customHeight="true" outlineLevel="0" collapsed="false">
      <c r="A8" s="3" t="s">
        <v>152</v>
      </c>
      <c r="B8" s="3" t="s">
        <v>146</v>
      </c>
      <c r="C8" s="3" t="s">
        <v>153</v>
      </c>
      <c r="D8" s="3" t="s">
        <v>154</v>
      </c>
      <c r="E8" s="3" t="s">
        <v>137</v>
      </c>
    </row>
    <row r="9" customFormat="false" ht="24" hidden="false" customHeight="true" outlineLevel="0" collapsed="false">
      <c r="A9" s="4" t="s">
        <v>155</v>
      </c>
      <c r="B9" s="4" t="s">
        <v>146</v>
      </c>
      <c r="C9" s="4" t="s">
        <v>156</v>
      </c>
      <c r="D9" s="4" t="s">
        <v>157</v>
      </c>
      <c r="E9" s="4" t="s">
        <v>137</v>
      </c>
    </row>
    <row r="10" customFormat="false" ht="24" hidden="false" customHeight="true" outlineLevel="0" collapsed="false">
      <c r="A10" s="3" t="s">
        <v>158</v>
      </c>
      <c r="B10" s="3" t="s">
        <v>146</v>
      </c>
      <c r="C10" s="3" t="s">
        <v>159</v>
      </c>
      <c r="D10" s="3" t="s">
        <v>160</v>
      </c>
      <c r="E10" s="3" t="s">
        <v>137</v>
      </c>
    </row>
    <row r="11" customFormat="false" ht="24" hidden="false" customHeight="true" outlineLevel="0" collapsed="false">
      <c r="A11" s="4" t="s">
        <v>161</v>
      </c>
      <c r="B11" s="4" t="s">
        <v>146</v>
      </c>
      <c r="C11" s="4" t="s">
        <v>162</v>
      </c>
      <c r="D11" s="4" t="s">
        <v>163</v>
      </c>
      <c r="E11" s="4" t="s">
        <v>137</v>
      </c>
    </row>
    <row r="12" customFormat="false" ht="24" hidden="false" customHeight="true" outlineLevel="0" collapsed="false">
      <c r="A12" s="3" t="s">
        <v>164</v>
      </c>
      <c r="B12" s="3" t="s">
        <v>165</v>
      </c>
      <c r="C12" s="3" t="s">
        <v>166</v>
      </c>
      <c r="D12" s="3" t="s">
        <v>167</v>
      </c>
      <c r="E12" s="3" t="s">
        <v>137</v>
      </c>
    </row>
    <row r="13" customFormat="false" ht="24" hidden="false" customHeight="true" outlineLevel="0" collapsed="false">
      <c r="A13" s="4" t="s">
        <v>168</v>
      </c>
      <c r="B13" s="4" t="s">
        <v>169</v>
      </c>
      <c r="C13" s="4" t="s">
        <v>170</v>
      </c>
      <c r="D13" s="4" t="s">
        <v>171</v>
      </c>
      <c r="E13" s="4" t="s">
        <v>172</v>
      </c>
    </row>
    <row r="14" customFormat="false" ht="24" hidden="false" customHeight="true" outlineLevel="0" collapsed="false">
      <c r="A14" s="3" t="s">
        <v>173</v>
      </c>
      <c r="B14" s="3" t="s">
        <v>169</v>
      </c>
      <c r="C14" s="3" t="s">
        <v>174</v>
      </c>
      <c r="D14" s="3" t="s">
        <v>175</v>
      </c>
      <c r="E14" s="3" t="s">
        <v>172</v>
      </c>
    </row>
    <row r="15" customFormat="false" ht="24" hidden="false" customHeight="true" outlineLevel="0" collapsed="false">
      <c r="A15" s="4" t="s">
        <v>176</v>
      </c>
      <c r="B15" s="4" t="s">
        <v>169</v>
      </c>
      <c r="C15" s="4" t="s">
        <v>177</v>
      </c>
      <c r="D15" s="4" t="s">
        <v>178</v>
      </c>
      <c r="E15" s="4" t="s">
        <v>172</v>
      </c>
    </row>
    <row r="16" customFormat="false" ht="24" hidden="false" customHeight="true" outlineLevel="0" collapsed="false">
      <c r="A16" s="3" t="s">
        <v>179</v>
      </c>
      <c r="B16" s="3" t="s">
        <v>169</v>
      </c>
      <c r="C16" s="3" t="s">
        <v>180</v>
      </c>
      <c r="D16" s="3" t="s">
        <v>181</v>
      </c>
      <c r="E16" s="3" t="s">
        <v>182</v>
      </c>
    </row>
    <row r="17" customFormat="false" ht="24" hidden="false" customHeight="true" outlineLevel="0" collapsed="false">
      <c r="A17" s="4" t="s">
        <v>183</v>
      </c>
      <c r="B17" s="4" t="s">
        <v>184</v>
      </c>
      <c r="C17" s="4" t="s">
        <v>185</v>
      </c>
      <c r="D17" s="4" t="s">
        <v>186</v>
      </c>
      <c r="E17" s="4" t="s">
        <v>187</v>
      </c>
    </row>
    <row r="18" customFormat="false" ht="24" hidden="false" customHeight="true" outlineLevel="0" collapsed="false">
      <c r="A18" s="3" t="s">
        <v>188</v>
      </c>
      <c r="B18" s="3" t="s">
        <v>189</v>
      </c>
      <c r="C18" s="3" t="s">
        <v>190</v>
      </c>
      <c r="D18" s="3" t="s">
        <v>191</v>
      </c>
      <c r="E18" s="3" t="s">
        <v>192</v>
      </c>
    </row>
    <row r="19" customFormat="false" ht="24" hidden="false" customHeight="true" outlineLevel="0" collapsed="false">
      <c r="A19" s="4" t="s">
        <v>193</v>
      </c>
      <c r="B19" s="4" t="s">
        <v>194</v>
      </c>
      <c r="C19" s="4" t="s">
        <v>195</v>
      </c>
      <c r="D19" s="4" t="s">
        <v>196</v>
      </c>
      <c r="E19" s="4" t="s">
        <v>197</v>
      </c>
    </row>
    <row r="20" customFormat="false" ht="24" hidden="false" customHeight="true" outlineLevel="0" collapsed="false">
      <c r="A20" s="3" t="s">
        <v>198</v>
      </c>
      <c r="B20" s="3" t="s">
        <v>199</v>
      </c>
      <c r="C20" s="3" t="s">
        <v>133</v>
      </c>
      <c r="D20" s="3" t="s">
        <v>200</v>
      </c>
      <c r="E20" s="3" t="s">
        <v>201</v>
      </c>
    </row>
    <row r="21" customFormat="false" ht="24" hidden="false" customHeight="true" outlineLevel="0" collapsed="false">
      <c r="A21" s="4" t="s">
        <v>202</v>
      </c>
      <c r="B21" s="4" t="s">
        <v>199</v>
      </c>
      <c r="C21" s="4" t="s">
        <v>203</v>
      </c>
      <c r="D21" s="4" t="s">
        <v>204</v>
      </c>
      <c r="E21" s="4" t="s">
        <v>201</v>
      </c>
    </row>
    <row r="22" customFormat="false" ht="24" hidden="false" customHeight="true" outlineLevel="0" collapsed="false">
      <c r="A22" s="3" t="s">
        <v>205</v>
      </c>
      <c r="B22" s="3" t="s">
        <v>199</v>
      </c>
      <c r="C22" s="3" t="s">
        <v>206</v>
      </c>
      <c r="D22" s="3" t="s">
        <v>207</v>
      </c>
      <c r="E22" s="3" t="s">
        <v>208</v>
      </c>
    </row>
    <row r="23" customFormat="false" ht="24" hidden="false" customHeight="true" outlineLevel="0" collapsed="false">
      <c r="A23" s="4" t="s">
        <v>209</v>
      </c>
      <c r="B23" s="4" t="s">
        <v>199</v>
      </c>
      <c r="C23" s="4" t="s">
        <v>210</v>
      </c>
      <c r="D23" s="4" t="s">
        <v>211</v>
      </c>
      <c r="E23" s="4" t="s">
        <v>212</v>
      </c>
    </row>
    <row r="24" customFormat="false" ht="24" hidden="false" customHeight="true" outlineLevel="0" collapsed="false">
      <c r="A24" s="3" t="s">
        <v>213</v>
      </c>
      <c r="B24" s="3" t="s">
        <v>214</v>
      </c>
      <c r="C24" s="3" t="s">
        <v>215</v>
      </c>
      <c r="D24" s="3" t="s">
        <v>216</v>
      </c>
      <c r="E24" s="3" t="s">
        <v>217</v>
      </c>
    </row>
    <row r="25" customFormat="false" ht="24" hidden="false" customHeight="true" outlineLevel="0" collapsed="false">
      <c r="A25" s="4" t="s">
        <v>218</v>
      </c>
      <c r="B25" s="4" t="s">
        <v>214</v>
      </c>
      <c r="C25" s="4" t="s">
        <v>219</v>
      </c>
      <c r="D25" s="4" t="s">
        <v>220</v>
      </c>
      <c r="E25" s="4" t="s">
        <v>217</v>
      </c>
    </row>
    <row r="26" customFormat="false" ht="24" hidden="false" customHeight="true" outlineLevel="0" collapsed="false">
      <c r="A26" s="3" t="s">
        <v>221</v>
      </c>
      <c r="B26" s="3" t="s">
        <v>222</v>
      </c>
      <c r="C26" s="3" t="s">
        <v>223</v>
      </c>
      <c r="D26" s="3" t="s">
        <v>224</v>
      </c>
      <c r="E26" s="3" t="s">
        <v>225</v>
      </c>
    </row>
  </sheetData>
  <autoFilter ref="A1:E26"/>
  <printOptions headings="false" gridLines="false" gridLinesSet="true" horizontalCentered="false" verticalCentered="false"/>
  <pageMargins left="0.75" right="0.75" top="1" bottom="1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88"/>
    <col collapsed="false" customWidth="true" hidden="false" outlineLevel="0" max="3" min="3" style="1" width="24"/>
  </cols>
  <sheetData>
    <row r="1" customFormat="false" ht="27.75" hidden="false" customHeight="true" outlineLevel="0" collapsed="false">
      <c r="A1" s="2" t="s">
        <v>226</v>
      </c>
      <c r="B1" s="2" t="s">
        <v>227</v>
      </c>
      <c r="C1" s="2" t="s">
        <v>228</v>
      </c>
    </row>
    <row r="2" customFormat="false" ht="21.75" hidden="false" customHeight="true" outlineLevel="0" collapsed="false">
      <c r="A2" s="3" t="s">
        <v>229</v>
      </c>
      <c r="B2" s="3" t="n">
        <f aca="false">COUNTA('Current Faces'!A2:A57)</f>
        <v>56</v>
      </c>
      <c r="C2" s="3" t="s">
        <v>230</v>
      </c>
    </row>
    <row r="3" customFormat="false" ht="21.75" hidden="false" customHeight="true" outlineLevel="0" collapsed="false">
      <c r="A3" s="4" t="s">
        <v>231</v>
      </c>
      <c r="B3" s="4" t="n">
        <f aca="false">COUNTA('Previous Faces'!A2:A57)</f>
        <v>56</v>
      </c>
      <c r="C3" s="4" t="s">
        <v>232</v>
      </c>
    </row>
    <row r="4" customFormat="false" ht="21.75" hidden="false" customHeight="true" outlineLevel="0" collapsed="false">
      <c r="A4" s="3" t="s">
        <v>233</v>
      </c>
      <c r="B4" s="3" t="n">
        <f aca="false">COUNTA('Newest generations'!A2:A20)</f>
        <v>11</v>
      </c>
      <c r="C4" s="3" t="s">
        <v>234</v>
      </c>
    </row>
    <row r="5" customFormat="false" ht="21.75" hidden="false" customHeight="true" outlineLevel="0" collapsed="false">
      <c r="A5" s="4" t="s">
        <v>235</v>
      </c>
      <c r="B5" s="4" t="n">
        <f aca="false">COUNTA('Barcode tooling'!A2:A40)</f>
        <v>25</v>
      </c>
      <c r="C5" s="4" t="s">
        <v>236</v>
      </c>
    </row>
    <row r="6" customFormat="false" ht="21.75" hidden="false" customHeight="true" outlineLevel="0" collapsed="false">
      <c r="A6" s="3" t="s">
        <v>237</v>
      </c>
      <c r="B6" s="3" t="n">
        <f aca="false">COUNTA('Specimen layout'!A2:A50)</f>
        <v>38</v>
      </c>
      <c r="C6" s="3" t="s">
        <v>238</v>
      </c>
    </row>
    <row r="7" customFormat="false" ht="21.75" hidden="false" customHeight="true" outlineLevel="0" collapsed="false">
      <c r="A7" s="4" t="s">
        <v>239</v>
      </c>
      <c r="B7" s="4" t="n">
        <f aca="false">COUNTA('Quality score'!A2:A20)</f>
        <v>11</v>
      </c>
      <c r="C7" s="4" t="s">
        <v>240</v>
      </c>
    </row>
    <row r="8" customFormat="false" ht="21.75" hidden="false" customHeight="true" outlineLevel="0" collapsed="false">
      <c r="A8" s="3" t="s">
        <v>241</v>
      </c>
      <c r="B8" s="5" t="n">
        <f aca="false">AVERAGE('Quality score'!D2:D12)</f>
        <v>7.72727272727273</v>
      </c>
      <c r="C8" s="3" t="s">
        <v>240</v>
      </c>
    </row>
    <row r="9" customFormat="false" ht="21.75" hidden="false" customHeight="true" outlineLevel="0" collapsed="false">
      <c r="A9" s="4"/>
      <c r="B9" s="4"/>
      <c r="C9" s="4"/>
    </row>
    <row r="10" customFormat="false" ht="21.75" hidden="false" customHeight="true" outlineLevel="0" collapsed="false">
      <c r="A10" s="3" t="s">
        <v>242</v>
      </c>
      <c r="B10" s="3" t="s">
        <v>243</v>
      </c>
      <c r="C10" s="3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14"/>
    <col collapsed="false" customWidth="true" hidden="false" outlineLevel="0" max="9" min="9" style="1" width="26"/>
    <col collapsed="false" customWidth="true" hidden="false" outlineLevel="0" max="10" min="10" style="1" width="18"/>
    <col collapsed="false" customWidth="true" hidden="false" outlineLevel="0" max="11" min="11" style="1" width="8"/>
    <col collapsed="false" customWidth="true" hidden="false" outlineLevel="0" max="12" min="12" style="1" width="16"/>
    <col collapsed="false" customWidth="true" hidden="false" outlineLevel="0" max="13" min="13" style="1" width="36"/>
    <col collapsed="false" customWidth="true" hidden="false" outlineLevel="0" max="14" min="14" style="1" width="42"/>
    <col collapsed="false" customWidth="true" hidden="false" outlineLevel="0" max="15" min="15" style="1" width="28"/>
    <col collapsed="false" customWidth="true" hidden="false" outlineLevel="0" max="16" min="16" style="1" width="14"/>
    <col collapsed="false" customWidth="true" hidden="false" outlineLevel="0" max="17" min="17" style="1" width="28"/>
    <col collapsed="false" customWidth="true" hidden="false" outlineLevel="0" max="18" min="18" style="1" width="42"/>
  </cols>
  <sheetData>
    <row r="1" customFormat="false" ht="27.75" hidden="false" customHeight="true" outlineLevel="0" collapsed="false">
      <c r="A1" s="6" t="s">
        <v>245</v>
      </c>
      <c r="B1" s="6" t="s">
        <v>246</v>
      </c>
      <c r="C1" s="6" t="s">
        <v>247</v>
      </c>
      <c r="D1" s="6" t="s">
        <v>248</v>
      </c>
      <c r="E1" s="6" t="s">
        <v>249</v>
      </c>
      <c r="F1" s="6" t="s">
        <v>250</v>
      </c>
      <c r="G1" s="6" t="s">
        <v>251</v>
      </c>
      <c r="H1" s="6" t="s">
        <v>252</v>
      </c>
      <c r="I1" s="6" t="s">
        <v>253</v>
      </c>
      <c r="J1" s="6" t="s">
        <v>254</v>
      </c>
      <c r="K1" s="6" t="s">
        <v>255</v>
      </c>
      <c r="L1" s="6" t="s">
        <v>256</v>
      </c>
      <c r="M1" s="6" t="s">
        <v>257</v>
      </c>
      <c r="N1" s="6" t="s">
        <v>258</v>
      </c>
      <c r="O1" s="6" t="s">
        <v>259</v>
      </c>
      <c r="P1" s="6" t="s">
        <v>169</v>
      </c>
      <c r="Q1" s="6" t="s">
        <v>260</v>
      </c>
      <c r="R1" s="6" t="s">
        <v>261</v>
      </c>
    </row>
    <row r="2" customFormat="false" ht="48" hidden="false" customHeight="true" outlineLevel="0" collapsed="false">
      <c r="A2" s="7" t="s">
        <v>262</v>
      </c>
      <c r="B2" s="7" t="s">
        <v>263</v>
      </c>
      <c r="C2" s="7" t="s">
        <v>264</v>
      </c>
      <c r="D2" s="7" t="s">
        <v>265</v>
      </c>
      <c r="E2" s="7" t="s">
        <v>266</v>
      </c>
      <c r="F2" s="7" t="s">
        <v>267</v>
      </c>
      <c r="G2" s="7" t="s">
        <v>268</v>
      </c>
      <c r="H2" s="7" t="s">
        <v>269</v>
      </c>
      <c r="I2" s="7" t="s">
        <v>93</v>
      </c>
      <c r="J2" s="7" t="s">
        <v>270</v>
      </c>
      <c r="K2" s="7" t="s">
        <v>114</v>
      </c>
      <c r="L2" s="7" t="s">
        <v>271</v>
      </c>
      <c r="M2" s="7" t="s">
        <v>272</v>
      </c>
      <c r="N2" s="7" t="s">
        <v>273</v>
      </c>
      <c r="O2" s="7" t="s">
        <v>274</v>
      </c>
      <c r="P2" s="7" t="s">
        <v>275</v>
      </c>
      <c r="Q2" s="7" t="s">
        <v>276</v>
      </c>
      <c r="R2" s="7" t="s">
        <v>277</v>
      </c>
    </row>
    <row r="3" customFormat="false" ht="48" hidden="false" customHeight="true" outlineLevel="0" collapsed="false">
      <c r="A3" s="8" t="s">
        <v>278</v>
      </c>
      <c r="B3" s="8" t="s">
        <v>279</v>
      </c>
      <c r="C3" s="8" t="s">
        <v>280</v>
      </c>
      <c r="D3" s="8" t="s">
        <v>281</v>
      </c>
      <c r="E3" s="8" t="s">
        <v>282</v>
      </c>
      <c r="F3" s="8" t="s">
        <v>283</v>
      </c>
      <c r="G3" s="8" t="s">
        <v>268</v>
      </c>
      <c r="H3" s="8" t="s">
        <v>284</v>
      </c>
      <c r="I3" s="8" t="s">
        <v>93</v>
      </c>
      <c r="J3" s="8" t="s">
        <v>270</v>
      </c>
      <c r="K3" s="8" t="s">
        <v>114</v>
      </c>
      <c r="L3" s="8" t="s">
        <v>271</v>
      </c>
      <c r="M3" s="8" t="s">
        <v>272</v>
      </c>
      <c r="N3" s="8" t="s">
        <v>285</v>
      </c>
      <c r="O3" s="8" t="s">
        <v>274</v>
      </c>
      <c r="P3" s="8" t="s">
        <v>286</v>
      </c>
      <c r="Q3" s="8" t="s">
        <v>287</v>
      </c>
      <c r="R3" s="8" t="s">
        <v>288</v>
      </c>
    </row>
    <row r="4" customFormat="false" ht="48" hidden="false" customHeight="true" outlineLevel="0" collapsed="false">
      <c r="A4" s="7" t="s">
        <v>289</v>
      </c>
      <c r="B4" s="7" t="s">
        <v>290</v>
      </c>
      <c r="C4" s="7" t="s">
        <v>291</v>
      </c>
      <c r="D4" s="7" t="s">
        <v>292</v>
      </c>
      <c r="E4" s="7" t="s">
        <v>293</v>
      </c>
      <c r="F4" s="7" t="s">
        <v>294</v>
      </c>
      <c r="G4" s="7" t="s">
        <v>268</v>
      </c>
      <c r="H4" s="7" t="s">
        <v>269</v>
      </c>
      <c r="I4" s="7" t="s">
        <v>93</v>
      </c>
      <c r="J4" s="7" t="s">
        <v>295</v>
      </c>
      <c r="K4" s="7" t="s">
        <v>114</v>
      </c>
      <c r="L4" s="7" t="s">
        <v>271</v>
      </c>
      <c r="M4" s="7" t="s">
        <v>296</v>
      </c>
      <c r="N4" s="7" t="s">
        <v>297</v>
      </c>
      <c r="O4" s="7" t="s">
        <v>274</v>
      </c>
      <c r="P4" s="7" t="s">
        <v>286</v>
      </c>
      <c r="Q4" s="7" t="s">
        <v>298</v>
      </c>
      <c r="R4" s="7" t="s">
        <v>299</v>
      </c>
    </row>
    <row r="5" customFormat="false" ht="48" hidden="false" customHeight="true" outlineLevel="0" collapsed="false">
      <c r="A5" s="8" t="s">
        <v>300</v>
      </c>
      <c r="B5" s="8" t="s">
        <v>301</v>
      </c>
      <c r="C5" s="8" t="s">
        <v>302</v>
      </c>
      <c r="D5" s="8" t="s">
        <v>303</v>
      </c>
      <c r="E5" s="8" t="s">
        <v>282</v>
      </c>
      <c r="F5" s="8" t="s">
        <v>304</v>
      </c>
      <c r="G5" s="8" t="s">
        <v>268</v>
      </c>
      <c r="H5" s="8" t="s">
        <v>269</v>
      </c>
      <c r="I5" s="8" t="s">
        <v>93</v>
      </c>
      <c r="J5" s="8" t="s">
        <v>270</v>
      </c>
      <c r="K5" s="8" t="s">
        <v>114</v>
      </c>
      <c r="L5" s="8" t="s">
        <v>271</v>
      </c>
      <c r="M5" s="8" t="s">
        <v>305</v>
      </c>
      <c r="N5" s="8" t="s">
        <v>306</v>
      </c>
      <c r="O5" s="8" t="s">
        <v>274</v>
      </c>
      <c r="P5" s="8" t="s">
        <v>286</v>
      </c>
      <c r="Q5" s="8" t="s">
        <v>287</v>
      </c>
      <c r="R5" s="8" t="s">
        <v>307</v>
      </c>
    </row>
    <row r="6" customFormat="false" ht="48" hidden="false" customHeight="true" outlineLevel="0" collapsed="false">
      <c r="A6" s="9" t="s">
        <v>308</v>
      </c>
      <c r="B6" s="9" t="s">
        <v>309</v>
      </c>
      <c r="C6" s="9" t="s">
        <v>310</v>
      </c>
      <c r="D6" s="9" t="s">
        <v>311</v>
      </c>
      <c r="E6" s="9" t="s">
        <v>312</v>
      </c>
      <c r="F6" s="9" t="s">
        <v>313</v>
      </c>
      <c r="G6" s="9" t="s">
        <v>268</v>
      </c>
      <c r="H6" s="9" t="s">
        <v>314</v>
      </c>
      <c r="I6" s="9" t="s">
        <v>96</v>
      </c>
      <c r="J6" s="9" t="s">
        <v>270</v>
      </c>
      <c r="K6" s="9" t="s">
        <v>114</v>
      </c>
      <c r="L6" s="9" t="s">
        <v>315</v>
      </c>
      <c r="M6" s="9" t="s">
        <v>316</v>
      </c>
      <c r="N6" s="9" t="s">
        <v>317</v>
      </c>
      <c r="O6" s="9" t="s">
        <v>318</v>
      </c>
      <c r="P6" s="9" t="s">
        <v>275</v>
      </c>
      <c r="Q6" s="9" t="s">
        <v>319</v>
      </c>
      <c r="R6" s="9" t="s">
        <v>320</v>
      </c>
    </row>
    <row r="7" customFormat="false" ht="48" hidden="false" customHeight="true" outlineLevel="0" collapsed="false">
      <c r="A7" s="8" t="s">
        <v>321</v>
      </c>
      <c r="B7" s="8" t="s">
        <v>322</v>
      </c>
      <c r="C7" s="8" t="s">
        <v>323</v>
      </c>
      <c r="D7" s="8" t="s">
        <v>324</v>
      </c>
      <c r="E7" s="8" t="s">
        <v>325</v>
      </c>
      <c r="F7" s="8" t="s">
        <v>326</v>
      </c>
      <c r="G7" s="8" t="s">
        <v>268</v>
      </c>
      <c r="H7" s="8" t="s">
        <v>284</v>
      </c>
      <c r="I7" s="8" t="s">
        <v>93</v>
      </c>
      <c r="J7" s="8" t="s">
        <v>270</v>
      </c>
      <c r="K7" s="8" t="s">
        <v>114</v>
      </c>
      <c r="L7" s="8" t="s">
        <v>271</v>
      </c>
      <c r="M7" s="8" t="s">
        <v>305</v>
      </c>
      <c r="N7" s="8" t="s">
        <v>327</v>
      </c>
      <c r="O7" s="8" t="s">
        <v>274</v>
      </c>
      <c r="P7" s="8" t="s">
        <v>286</v>
      </c>
      <c r="Q7" s="8" t="s">
        <v>328</v>
      </c>
      <c r="R7" s="8" t="s">
        <v>329</v>
      </c>
    </row>
    <row r="8" customFormat="false" ht="48" hidden="false" customHeight="true" outlineLevel="0" collapsed="false">
      <c r="A8" s="7" t="s">
        <v>330</v>
      </c>
      <c r="B8" s="7" t="s">
        <v>331</v>
      </c>
      <c r="C8" s="7" t="s">
        <v>310</v>
      </c>
      <c r="D8" s="7" t="s">
        <v>332</v>
      </c>
      <c r="E8" s="7" t="s">
        <v>333</v>
      </c>
      <c r="F8" s="7" t="s">
        <v>334</v>
      </c>
      <c r="G8" s="7" t="s">
        <v>268</v>
      </c>
      <c r="H8" s="7" t="s">
        <v>269</v>
      </c>
      <c r="I8" s="7" t="s">
        <v>93</v>
      </c>
      <c r="J8" s="7" t="s">
        <v>270</v>
      </c>
      <c r="K8" s="7" t="s">
        <v>114</v>
      </c>
      <c r="L8" s="7" t="s">
        <v>271</v>
      </c>
      <c r="M8" s="7" t="s">
        <v>305</v>
      </c>
      <c r="N8" s="7" t="s">
        <v>335</v>
      </c>
      <c r="O8" s="7" t="s">
        <v>274</v>
      </c>
      <c r="P8" s="7" t="s">
        <v>286</v>
      </c>
      <c r="Q8" s="7" t="s">
        <v>336</v>
      </c>
      <c r="R8" s="7" t="s">
        <v>337</v>
      </c>
    </row>
    <row r="9" customFormat="false" ht="48" hidden="false" customHeight="true" outlineLevel="0" collapsed="false">
      <c r="A9" s="8" t="s">
        <v>338</v>
      </c>
      <c r="B9" s="8" t="s">
        <v>339</v>
      </c>
      <c r="C9" s="8" t="s">
        <v>340</v>
      </c>
      <c r="D9" s="8" t="s">
        <v>341</v>
      </c>
      <c r="E9" s="8" t="s">
        <v>282</v>
      </c>
      <c r="F9" s="8" t="s">
        <v>304</v>
      </c>
      <c r="G9" s="8" t="s">
        <v>268</v>
      </c>
      <c r="H9" s="8" t="s">
        <v>342</v>
      </c>
      <c r="I9" s="8" t="s">
        <v>93</v>
      </c>
      <c r="J9" s="8" t="s">
        <v>270</v>
      </c>
      <c r="K9" s="8" t="s">
        <v>114</v>
      </c>
      <c r="L9" s="8" t="s">
        <v>271</v>
      </c>
      <c r="M9" s="8" t="s">
        <v>305</v>
      </c>
      <c r="N9" s="8" t="s">
        <v>343</v>
      </c>
      <c r="O9" s="8" t="s">
        <v>274</v>
      </c>
      <c r="P9" s="8" t="s">
        <v>286</v>
      </c>
      <c r="Q9" s="8" t="s">
        <v>287</v>
      </c>
      <c r="R9" s="8" t="s">
        <v>344</v>
      </c>
    </row>
    <row r="10" customFormat="false" ht="48" hidden="false" customHeight="true" outlineLevel="0" collapsed="false">
      <c r="A10" s="7" t="s">
        <v>345</v>
      </c>
      <c r="B10" s="7" t="s">
        <v>346</v>
      </c>
      <c r="C10" s="7" t="s">
        <v>310</v>
      </c>
      <c r="D10" s="7" t="s">
        <v>347</v>
      </c>
      <c r="E10" s="7" t="s">
        <v>348</v>
      </c>
      <c r="F10" s="7" t="s">
        <v>349</v>
      </c>
      <c r="G10" s="7" t="s">
        <v>268</v>
      </c>
      <c r="H10" s="7" t="s">
        <v>269</v>
      </c>
      <c r="I10" s="7" t="s">
        <v>93</v>
      </c>
      <c r="J10" s="7" t="s">
        <v>270</v>
      </c>
      <c r="K10" s="7" t="s">
        <v>114</v>
      </c>
      <c r="L10" s="7" t="s">
        <v>271</v>
      </c>
      <c r="M10" s="7" t="s">
        <v>305</v>
      </c>
      <c r="N10" s="7" t="s">
        <v>350</v>
      </c>
      <c r="O10" s="7" t="s">
        <v>274</v>
      </c>
      <c r="P10" s="7" t="s">
        <v>286</v>
      </c>
      <c r="Q10" s="7" t="s">
        <v>351</v>
      </c>
      <c r="R10" s="7" t="s">
        <v>352</v>
      </c>
    </row>
    <row r="11" customFormat="false" ht="48" hidden="false" customHeight="true" outlineLevel="0" collapsed="false">
      <c r="A11" s="8" t="s">
        <v>353</v>
      </c>
      <c r="B11" s="8" t="s">
        <v>354</v>
      </c>
      <c r="C11" s="8" t="s">
        <v>355</v>
      </c>
      <c r="D11" s="8" t="s">
        <v>356</v>
      </c>
      <c r="E11" s="8" t="s">
        <v>357</v>
      </c>
      <c r="F11" s="8" t="s">
        <v>334</v>
      </c>
      <c r="G11" s="8" t="s">
        <v>268</v>
      </c>
      <c r="H11" s="8" t="s">
        <v>358</v>
      </c>
      <c r="I11" s="8" t="s">
        <v>359</v>
      </c>
      <c r="J11" s="8" t="s">
        <v>270</v>
      </c>
      <c r="K11" s="8" t="s">
        <v>114</v>
      </c>
      <c r="L11" s="8" t="s">
        <v>360</v>
      </c>
      <c r="M11" s="8" t="s">
        <v>361</v>
      </c>
      <c r="N11" s="8" t="s">
        <v>362</v>
      </c>
      <c r="O11" s="8" t="s">
        <v>363</v>
      </c>
      <c r="P11" s="8" t="s">
        <v>286</v>
      </c>
      <c r="Q11" s="8" t="s">
        <v>336</v>
      </c>
      <c r="R11" s="8" t="s">
        <v>364</v>
      </c>
    </row>
    <row r="12" customFormat="false" ht="48" hidden="false" customHeight="true" outlineLevel="0" collapsed="false">
      <c r="A12" s="7" t="s">
        <v>365</v>
      </c>
      <c r="B12" s="7" t="s">
        <v>366</v>
      </c>
      <c r="C12" s="7" t="s">
        <v>367</v>
      </c>
      <c r="D12" s="7" t="s">
        <v>368</v>
      </c>
      <c r="E12" s="7" t="s">
        <v>325</v>
      </c>
      <c r="F12" s="7" t="s">
        <v>326</v>
      </c>
      <c r="G12" s="7" t="s">
        <v>268</v>
      </c>
      <c r="H12" s="7" t="s">
        <v>269</v>
      </c>
      <c r="I12" s="7" t="s">
        <v>93</v>
      </c>
      <c r="J12" s="7" t="s">
        <v>270</v>
      </c>
      <c r="K12" s="7" t="s">
        <v>114</v>
      </c>
      <c r="L12" s="7" t="s">
        <v>271</v>
      </c>
      <c r="M12" s="7" t="s">
        <v>369</v>
      </c>
      <c r="N12" s="7" t="s">
        <v>370</v>
      </c>
      <c r="O12" s="7" t="s">
        <v>274</v>
      </c>
      <c r="P12" s="7" t="s">
        <v>286</v>
      </c>
      <c r="Q12" s="7" t="s">
        <v>371</v>
      </c>
      <c r="R12" s="7" t="s">
        <v>372</v>
      </c>
    </row>
    <row r="13" customFormat="false" ht="48" hidden="false" customHeight="true" outlineLevel="0" collapsed="false">
      <c r="A13" s="9" t="s">
        <v>373</v>
      </c>
      <c r="B13" s="9" t="s">
        <v>374</v>
      </c>
      <c r="C13" s="9" t="s">
        <v>375</v>
      </c>
      <c r="D13" s="9" t="s">
        <v>376</v>
      </c>
      <c r="E13" s="9" t="s">
        <v>377</v>
      </c>
      <c r="F13" s="9" t="s">
        <v>378</v>
      </c>
      <c r="G13" s="9" t="s">
        <v>268</v>
      </c>
      <c r="H13" s="9" t="s">
        <v>342</v>
      </c>
      <c r="I13" s="9" t="s">
        <v>93</v>
      </c>
      <c r="J13" s="9" t="s">
        <v>270</v>
      </c>
      <c r="K13" s="9" t="s">
        <v>114</v>
      </c>
      <c r="L13" s="9" t="s">
        <v>271</v>
      </c>
      <c r="M13" s="9" t="s">
        <v>305</v>
      </c>
      <c r="N13" s="9" t="s">
        <v>379</v>
      </c>
      <c r="O13" s="9" t="s">
        <v>274</v>
      </c>
      <c r="P13" s="9" t="s">
        <v>286</v>
      </c>
      <c r="Q13" s="9" t="s">
        <v>380</v>
      </c>
      <c r="R13" s="9" t="s">
        <v>381</v>
      </c>
    </row>
    <row r="14" customFormat="false" ht="48" hidden="false" customHeight="true" outlineLevel="0" collapsed="false">
      <c r="A14" s="7" t="s">
        <v>382</v>
      </c>
      <c r="B14" s="7" t="s">
        <v>383</v>
      </c>
      <c r="C14" s="7" t="s">
        <v>384</v>
      </c>
      <c r="D14" s="7" t="s">
        <v>385</v>
      </c>
      <c r="E14" s="7" t="s">
        <v>333</v>
      </c>
      <c r="F14" s="7" t="s">
        <v>334</v>
      </c>
      <c r="G14" s="7" t="s">
        <v>268</v>
      </c>
      <c r="H14" s="7" t="s">
        <v>269</v>
      </c>
      <c r="I14" s="7" t="s">
        <v>93</v>
      </c>
      <c r="J14" s="7" t="s">
        <v>270</v>
      </c>
      <c r="K14" s="7" t="s">
        <v>114</v>
      </c>
      <c r="L14" s="7" t="s">
        <v>271</v>
      </c>
      <c r="M14" s="7" t="s">
        <v>305</v>
      </c>
      <c r="N14" s="7" t="s">
        <v>386</v>
      </c>
      <c r="O14" s="7" t="s">
        <v>274</v>
      </c>
      <c r="P14" s="7" t="s">
        <v>286</v>
      </c>
      <c r="Q14" s="7" t="s">
        <v>336</v>
      </c>
      <c r="R14" s="7" t="s">
        <v>387</v>
      </c>
    </row>
    <row r="15" customFormat="false" ht="48" hidden="false" customHeight="true" outlineLevel="0" collapsed="false">
      <c r="A15" s="8" t="s">
        <v>388</v>
      </c>
      <c r="B15" s="8" t="s">
        <v>389</v>
      </c>
      <c r="C15" s="8" t="s">
        <v>390</v>
      </c>
      <c r="D15" s="8" t="s">
        <v>391</v>
      </c>
      <c r="E15" s="8" t="s">
        <v>392</v>
      </c>
      <c r="F15" s="8" t="s">
        <v>393</v>
      </c>
      <c r="G15" s="8" t="s">
        <v>268</v>
      </c>
      <c r="H15" s="8" t="s">
        <v>269</v>
      </c>
      <c r="I15" s="8" t="s">
        <v>93</v>
      </c>
      <c r="J15" s="8" t="s">
        <v>270</v>
      </c>
      <c r="K15" s="8" t="s">
        <v>114</v>
      </c>
      <c r="L15" s="8" t="s">
        <v>271</v>
      </c>
      <c r="M15" s="8" t="s">
        <v>305</v>
      </c>
      <c r="N15" s="8" t="s">
        <v>394</v>
      </c>
      <c r="O15" s="8" t="s">
        <v>274</v>
      </c>
      <c r="P15" s="8" t="s">
        <v>286</v>
      </c>
      <c r="Q15" s="8" t="s">
        <v>395</v>
      </c>
      <c r="R15" s="8" t="s">
        <v>396</v>
      </c>
    </row>
    <row r="16" customFormat="false" ht="48" hidden="false" customHeight="true" outlineLevel="0" collapsed="false">
      <c r="A16" s="7" t="s">
        <v>397</v>
      </c>
      <c r="B16" s="7" t="s">
        <v>398</v>
      </c>
      <c r="C16" s="7" t="s">
        <v>399</v>
      </c>
      <c r="D16" s="7" t="s">
        <v>400</v>
      </c>
      <c r="E16" s="7" t="s">
        <v>333</v>
      </c>
      <c r="F16" s="7" t="s">
        <v>334</v>
      </c>
      <c r="G16" s="7" t="s">
        <v>268</v>
      </c>
      <c r="H16" s="7" t="s">
        <v>284</v>
      </c>
      <c r="I16" s="7" t="s">
        <v>93</v>
      </c>
      <c r="J16" s="7" t="s">
        <v>270</v>
      </c>
      <c r="K16" s="7" t="s">
        <v>114</v>
      </c>
      <c r="L16" s="7" t="s">
        <v>271</v>
      </c>
      <c r="M16" s="7" t="s">
        <v>305</v>
      </c>
      <c r="N16" s="7" t="s">
        <v>401</v>
      </c>
      <c r="O16" s="7" t="s">
        <v>274</v>
      </c>
      <c r="P16" s="7" t="s">
        <v>286</v>
      </c>
      <c r="Q16" s="7" t="s">
        <v>336</v>
      </c>
      <c r="R16" s="7" t="s">
        <v>402</v>
      </c>
    </row>
    <row r="17" customFormat="false" ht="48" hidden="false" customHeight="true" outlineLevel="0" collapsed="false">
      <c r="A17" s="8" t="s">
        <v>403</v>
      </c>
      <c r="B17" s="8" t="s">
        <v>404</v>
      </c>
      <c r="C17" s="8" t="s">
        <v>405</v>
      </c>
      <c r="D17" s="8" t="s">
        <v>406</v>
      </c>
      <c r="E17" s="8" t="s">
        <v>282</v>
      </c>
      <c r="F17" s="8" t="s">
        <v>304</v>
      </c>
      <c r="G17" s="8" t="s">
        <v>268</v>
      </c>
      <c r="H17" s="8" t="s">
        <v>269</v>
      </c>
      <c r="I17" s="8" t="s">
        <v>93</v>
      </c>
      <c r="J17" s="8" t="s">
        <v>270</v>
      </c>
      <c r="K17" s="8" t="s">
        <v>114</v>
      </c>
      <c r="L17" s="8" t="s">
        <v>271</v>
      </c>
      <c r="M17" s="8" t="s">
        <v>305</v>
      </c>
      <c r="N17" s="8" t="s">
        <v>407</v>
      </c>
      <c r="O17" s="8" t="s">
        <v>274</v>
      </c>
      <c r="P17" s="8" t="s">
        <v>286</v>
      </c>
      <c r="Q17" s="8" t="s">
        <v>287</v>
      </c>
      <c r="R17" s="8" t="s">
        <v>408</v>
      </c>
    </row>
    <row r="18" customFormat="false" ht="48" hidden="false" customHeight="true" outlineLevel="0" collapsed="false">
      <c r="A18" s="7" t="s">
        <v>409</v>
      </c>
      <c r="B18" s="7" t="s">
        <v>410</v>
      </c>
      <c r="C18" s="7" t="s">
        <v>323</v>
      </c>
      <c r="D18" s="7" t="s">
        <v>411</v>
      </c>
      <c r="E18" s="7" t="s">
        <v>333</v>
      </c>
      <c r="F18" s="7" t="s">
        <v>334</v>
      </c>
      <c r="G18" s="7" t="s">
        <v>268</v>
      </c>
      <c r="H18" s="7" t="s">
        <v>269</v>
      </c>
      <c r="I18" s="7" t="s">
        <v>93</v>
      </c>
      <c r="J18" s="7" t="s">
        <v>270</v>
      </c>
      <c r="K18" s="7" t="s">
        <v>114</v>
      </c>
      <c r="L18" s="7" t="s">
        <v>271</v>
      </c>
      <c r="M18" s="7" t="s">
        <v>305</v>
      </c>
      <c r="N18" s="7" t="s">
        <v>412</v>
      </c>
      <c r="O18" s="7" t="s">
        <v>274</v>
      </c>
      <c r="P18" s="7" t="s">
        <v>286</v>
      </c>
      <c r="Q18" s="7" t="s">
        <v>336</v>
      </c>
      <c r="R18" s="7" t="s">
        <v>413</v>
      </c>
    </row>
    <row r="19" customFormat="false" ht="48" hidden="false" customHeight="true" outlineLevel="0" collapsed="false">
      <c r="A19" s="8" t="s">
        <v>414</v>
      </c>
      <c r="B19" s="8" t="s">
        <v>415</v>
      </c>
      <c r="C19" s="8" t="s">
        <v>416</v>
      </c>
      <c r="D19" s="8" t="s">
        <v>417</v>
      </c>
      <c r="E19" s="8" t="s">
        <v>325</v>
      </c>
      <c r="F19" s="8" t="s">
        <v>326</v>
      </c>
      <c r="G19" s="8" t="s">
        <v>268</v>
      </c>
      <c r="H19" s="8" t="s">
        <v>342</v>
      </c>
      <c r="I19" s="8" t="s">
        <v>93</v>
      </c>
      <c r="J19" s="8" t="s">
        <v>270</v>
      </c>
      <c r="K19" s="8" t="s">
        <v>114</v>
      </c>
      <c r="L19" s="8" t="s">
        <v>271</v>
      </c>
      <c r="M19" s="8" t="s">
        <v>305</v>
      </c>
      <c r="N19" s="8" t="s">
        <v>418</v>
      </c>
      <c r="O19" s="8" t="s">
        <v>274</v>
      </c>
      <c r="P19" s="8" t="s">
        <v>286</v>
      </c>
      <c r="Q19" s="8" t="s">
        <v>371</v>
      </c>
      <c r="R19" s="8" t="s">
        <v>419</v>
      </c>
    </row>
    <row r="20" customFormat="false" ht="48" hidden="false" customHeight="true" outlineLevel="0" collapsed="false">
      <c r="A20" s="7" t="s">
        <v>420</v>
      </c>
      <c r="B20" s="7" t="s">
        <v>421</v>
      </c>
      <c r="C20" s="7" t="s">
        <v>422</v>
      </c>
      <c r="D20" s="7" t="s">
        <v>423</v>
      </c>
      <c r="E20" s="7" t="s">
        <v>424</v>
      </c>
      <c r="F20" s="7" t="s">
        <v>294</v>
      </c>
      <c r="G20" s="7" t="s">
        <v>268</v>
      </c>
      <c r="H20" s="7" t="s">
        <v>342</v>
      </c>
      <c r="I20" s="7" t="s">
        <v>93</v>
      </c>
      <c r="J20" s="7" t="s">
        <v>270</v>
      </c>
      <c r="K20" s="7" t="s">
        <v>114</v>
      </c>
      <c r="L20" s="7" t="s">
        <v>271</v>
      </c>
      <c r="M20" s="7" t="s">
        <v>305</v>
      </c>
      <c r="N20" s="7" t="s">
        <v>425</v>
      </c>
      <c r="O20" s="7" t="s">
        <v>274</v>
      </c>
      <c r="P20" s="7" t="s">
        <v>286</v>
      </c>
      <c r="Q20" s="7" t="s">
        <v>426</v>
      </c>
      <c r="R20" s="7" t="s">
        <v>427</v>
      </c>
    </row>
    <row r="21" customFormat="false" ht="48" hidden="false" customHeight="true" outlineLevel="0" collapsed="false">
      <c r="A21" s="8" t="s">
        <v>428</v>
      </c>
      <c r="B21" s="8" t="s">
        <v>429</v>
      </c>
      <c r="C21" s="8" t="s">
        <v>430</v>
      </c>
      <c r="D21" s="8" t="s">
        <v>431</v>
      </c>
      <c r="E21" s="8" t="s">
        <v>325</v>
      </c>
      <c r="F21" s="8" t="s">
        <v>326</v>
      </c>
      <c r="G21" s="8" t="s">
        <v>268</v>
      </c>
      <c r="H21" s="8" t="s">
        <v>342</v>
      </c>
      <c r="I21" s="8" t="s">
        <v>432</v>
      </c>
      <c r="J21" s="8" t="s">
        <v>270</v>
      </c>
      <c r="K21" s="8" t="s">
        <v>114</v>
      </c>
      <c r="L21" s="8" t="s">
        <v>271</v>
      </c>
      <c r="M21" s="8" t="s">
        <v>305</v>
      </c>
      <c r="N21" s="8" t="s">
        <v>433</v>
      </c>
      <c r="O21" s="8" t="s">
        <v>274</v>
      </c>
      <c r="P21" s="8" t="s">
        <v>286</v>
      </c>
      <c r="Q21" s="8" t="s">
        <v>371</v>
      </c>
      <c r="R21" s="8" t="s">
        <v>434</v>
      </c>
    </row>
    <row r="22" customFormat="false" ht="48" hidden="false" customHeight="true" outlineLevel="0" collapsed="false">
      <c r="A22" s="7" t="s">
        <v>435</v>
      </c>
      <c r="B22" s="7" t="s">
        <v>436</v>
      </c>
      <c r="C22" s="7" t="s">
        <v>437</v>
      </c>
      <c r="D22" s="7" t="s">
        <v>438</v>
      </c>
      <c r="E22" s="7" t="s">
        <v>392</v>
      </c>
      <c r="F22" s="7" t="s">
        <v>393</v>
      </c>
      <c r="G22" s="7" t="s">
        <v>268</v>
      </c>
      <c r="H22" s="7" t="s">
        <v>342</v>
      </c>
      <c r="I22" s="7" t="s">
        <v>93</v>
      </c>
      <c r="J22" s="7" t="s">
        <v>270</v>
      </c>
      <c r="K22" s="7" t="s">
        <v>114</v>
      </c>
      <c r="L22" s="7" t="s">
        <v>271</v>
      </c>
      <c r="M22" s="7" t="s">
        <v>305</v>
      </c>
      <c r="N22" s="7" t="s">
        <v>439</v>
      </c>
      <c r="O22" s="7" t="s">
        <v>274</v>
      </c>
      <c r="P22" s="7" t="s">
        <v>286</v>
      </c>
      <c r="Q22" s="7" t="s">
        <v>395</v>
      </c>
      <c r="R22" s="7" t="s">
        <v>440</v>
      </c>
    </row>
    <row r="23" customFormat="false" ht="48" hidden="false" customHeight="true" outlineLevel="0" collapsed="false">
      <c r="A23" s="8" t="s">
        <v>441</v>
      </c>
      <c r="B23" s="8" t="s">
        <v>442</v>
      </c>
      <c r="C23" s="8" t="s">
        <v>443</v>
      </c>
      <c r="D23" s="8" t="s">
        <v>444</v>
      </c>
      <c r="E23" s="8" t="s">
        <v>282</v>
      </c>
      <c r="F23" s="8" t="s">
        <v>304</v>
      </c>
      <c r="G23" s="8" t="s">
        <v>268</v>
      </c>
      <c r="H23" s="8" t="s">
        <v>269</v>
      </c>
      <c r="I23" s="8" t="s">
        <v>93</v>
      </c>
      <c r="J23" s="8" t="s">
        <v>270</v>
      </c>
      <c r="K23" s="8" t="s">
        <v>114</v>
      </c>
      <c r="L23" s="8" t="s">
        <v>271</v>
      </c>
      <c r="M23" s="8" t="s">
        <v>305</v>
      </c>
      <c r="N23" s="8" t="s">
        <v>445</v>
      </c>
      <c r="O23" s="8" t="s">
        <v>274</v>
      </c>
      <c r="P23" s="8" t="s">
        <v>286</v>
      </c>
      <c r="Q23" s="8" t="s">
        <v>287</v>
      </c>
      <c r="R23" s="8" t="s">
        <v>446</v>
      </c>
    </row>
    <row r="24" customFormat="false" ht="48" hidden="false" customHeight="true" outlineLevel="0" collapsed="false">
      <c r="A24" s="7" t="s">
        <v>447</v>
      </c>
      <c r="B24" s="7" t="s">
        <v>448</v>
      </c>
      <c r="C24" s="7" t="s">
        <v>390</v>
      </c>
      <c r="D24" s="7" t="s">
        <v>449</v>
      </c>
      <c r="E24" s="7" t="s">
        <v>450</v>
      </c>
      <c r="F24" s="7" t="s">
        <v>326</v>
      </c>
      <c r="G24" s="7" t="s">
        <v>268</v>
      </c>
      <c r="H24" s="7" t="s">
        <v>284</v>
      </c>
      <c r="I24" s="7" t="s">
        <v>432</v>
      </c>
      <c r="J24" s="7" t="s">
        <v>270</v>
      </c>
      <c r="K24" s="7" t="s">
        <v>114</v>
      </c>
      <c r="L24" s="7" t="s">
        <v>271</v>
      </c>
      <c r="M24" s="7" t="s">
        <v>305</v>
      </c>
      <c r="N24" s="7" t="s">
        <v>451</v>
      </c>
      <c r="O24" s="7" t="s">
        <v>452</v>
      </c>
      <c r="P24" s="7" t="s">
        <v>286</v>
      </c>
      <c r="Q24" s="7" t="s">
        <v>371</v>
      </c>
      <c r="R24" s="7" t="s">
        <v>453</v>
      </c>
    </row>
    <row r="25" customFormat="false" ht="48" hidden="false" customHeight="true" outlineLevel="0" collapsed="false">
      <c r="A25" s="8" t="s">
        <v>454</v>
      </c>
      <c r="B25" s="8" t="s">
        <v>455</v>
      </c>
      <c r="C25" s="8" t="s">
        <v>456</v>
      </c>
      <c r="D25" s="8" t="s">
        <v>457</v>
      </c>
      <c r="E25" s="8" t="s">
        <v>458</v>
      </c>
      <c r="F25" s="8" t="s">
        <v>304</v>
      </c>
      <c r="G25" s="8" t="s">
        <v>268</v>
      </c>
      <c r="H25" s="8" t="s">
        <v>269</v>
      </c>
      <c r="I25" s="8" t="s">
        <v>459</v>
      </c>
      <c r="J25" s="8" t="s">
        <v>270</v>
      </c>
      <c r="K25" s="8" t="s">
        <v>114</v>
      </c>
      <c r="L25" s="8" t="s">
        <v>271</v>
      </c>
      <c r="M25" s="8" t="s">
        <v>305</v>
      </c>
      <c r="N25" s="8" t="s">
        <v>460</v>
      </c>
      <c r="O25" s="8" t="s">
        <v>452</v>
      </c>
      <c r="P25" s="8" t="s">
        <v>286</v>
      </c>
      <c r="Q25" s="8" t="s">
        <v>287</v>
      </c>
      <c r="R25" s="8" t="s">
        <v>461</v>
      </c>
    </row>
    <row r="26" customFormat="false" ht="48" hidden="false" customHeight="true" outlineLevel="0" collapsed="false">
      <c r="A26" s="7" t="s">
        <v>462</v>
      </c>
      <c r="B26" s="7" t="s">
        <v>463</v>
      </c>
      <c r="C26" s="7" t="s">
        <v>464</v>
      </c>
      <c r="D26" s="7" t="s">
        <v>465</v>
      </c>
      <c r="E26" s="7" t="s">
        <v>466</v>
      </c>
      <c r="F26" s="7" t="s">
        <v>304</v>
      </c>
      <c r="G26" s="7" t="s">
        <v>268</v>
      </c>
      <c r="H26" s="7" t="s">
        <v>269</v>
      </c>
      <c r="I26" s="7" t="s">
        <v>93</v>
      </c>
      <c r="J26" s="7" t="s">
        <v>270</v>
      </c>
      <c r="K26" s="7" t="s">
        <v>114</v>
      </c>
      <c r="L26" s="7" t="s">
        <v>271</v>
      </c>
      <c r="M26" s="7" t="s">
        <v>305</v>
      </c>
      <c r="N26" s="7" t="s">
        <v>467</v>
      </c>
      <c r="O26" s="7" t="s">
        <v>274</v>
      </c>
      <c r="P26" s="7" t="s">
        <v>286</v>
      </c>
      <c r="Q26" s="7" t="s">
        <v>287</v>
      </c>
      <c r="R26" s="7" t="s">
        <v>468</v>
      </c>
    </row>
    <row r="27" customFormat="false" ht="48" hidden="false" customHeight="true" outlineLevel="0" collapsed="false">
      <c r="A27" s="8" t="s">
        <v>469</v>
      </c>
      <c r="B27" s="8" t="s">
        <v>470</v>
      </c>
      <c r="C27" s="8" t="s">
        <v>323</v>
      </c>
      <c r="D27" s="8" t="s">
        <v>471</v>
      </c>
      <c r="E27" s="8" t="s">
        <v>282</v>
      </c>
      <c r="F27" s="8" t="s">
        <v>304</v>
      </c>
      <c r="G27" s="8" t="s">
        <v>268</v>
      </c>
      <c r="H27" s="8" t="s">
        <v>269</v>
      </c>
      <c r="I27" s="8" t="s">
        <v>93</v>
      </c>
      <c r="J27" s="8" t="s">
        <v>270</v>
      </c>
      <c r="K27" s="8" t="s">
        <v>114</v>
      </c>
      <c r="L27" s="8" t="s">
        <v>271</v>
      </c>
      <c r="M27" s="8" t="s">
        <v>305</v>
      </c>
      <c r="N27" s="8" t="s">
        <v>472</v>
      </c>
      <c r="O27" s="8" t="s">
        <v>274</v>
      </c>
      <c r="P27" s="8" t="s">
        <v>286</v>
      </c>
      <c r="Q27" s="8" t="s">
        <v>287</v>
      </c>
      <c r="R27" s="8" t="s">
        <v>473</v>
      </c>
    </row>
    <row r="28" customFormat="false" ht="48" hidden="false" customHeight="true" outlineLevel="0" collapsed="false">
      <c r="A28" s="7" t="s">
        <v>474</v>
      </c>
      <c r="B28" s="7" t="s">
        <v>475</v>
      </c>
      <c r="C28" s="7" t="s">
        <v>476</v>
      </c>
      <c r="D28" s="7" t="s">
        <v>477</v>
      </c>
      <c r="E28" s="7" t="s">
        <v>478</v>
      </c>
      <c r="F28" s="7" t="s">
        <v>479</v>
      </c>
      <c r="G28" s="7" t="s">
        <v>268</v>
      </c>
      <c r="H28" s="7" t="s">
        <v>269</v>
      </c>
      <c r="I28" s="7" t="s">
        <v>93</v>
      </c>
      <c r="J28" s="7" t="s">
        <v>270</v>
      </c>
      <c r="K28" s="7" t="s">
        <v>114</v>
      </c>
      <c r="L28" s="7" t="s">
        <v>271</v>
      </c>
      <c r="M28" s="7" t="s">
        <v>305</v>
      </c>
      <c r="N28" s="7" t="s">
        <v>480</v>
      </c>
      <c r="O28" s="7" t="s">
        <v>274</v>
      </c>
      <c r="P28" s="7" t="s">
        <v>286</v>
      </c>
      <c r="Q28" s="7" t="s">
        <v>481</v>
      </c>
      <c r="R28" s="7" t="s">
        <v>482</v>
      </c>
    </row>
    <row r="29" customFormat="false" ht="48" hidden="false" customHeight="true" outlineLevel="0" collapsed="false">
      <c r="A29" s="8" t="s">
        <v>483</v>
      </c>
      <c r="B29" s="8" t="s">
        <v>484</v>
      </c>
      <c r="C29" s="8" t="s">
        <v>310</v>
      </c>
      <c r="D29" s="8" t="s">
        <v>485</v>
      </c>
      <c r="E29" s="8" t="s">
        <v>333</v>
      </c>
      <c r="F29" s="8" t="s">
        <v>334</v>
      </c>
      <c r="G29" s="8" t="s">
        <v>268</v>
      </c>
      <c r="H29" s="8" t="s">
        <v>269</v>
      </c>
      <c r="I29" s="8" t="s">
        <v>93</v>
      </c>
      <c r="J29" s="8" t="s">
        <v>270</v>
      </c>
      <c r="K29" s="8" t="s">
        <v>114</v>
      </c>
      <c r="L29" s="8" t="s">
        <v>271</v>
      </c>
      <c r="M29" s="8" t="s">
        <v>305</v>
      </c>
      <c r="N29" s="8" t="s">
        <v>486</v>
      </c>
      <c r="O29" s="8" t="s">
        <v>274</v>
      </c>
      <c r="P29" s="8" t="s">
        <v>286</v>
      </c>
      <c r="Q29" s="8" t="s">
        <v>336</v>
      </c>
      <c r="R29" s="8" t="s">
        <v>487</v>
      </c>
    </row>
    <row r="30" customFormat="false" ht="48" hidden="false" customHeight="true" outlineLevel="0" collapsed="false">
      <c r="A30" s="7" t="s">
        <v>488</v>
      </c>
      <c r="B30" s="7" t="s">
        <v>489</v>
      </c>
      <c r="C30" s="7" t="s">
        <v>310</v>
      </c>
      <c r="D30" s="7" t="s">
        <v>490</v>
      </c>
      <c r="E30" s="7" t="s">
        <v>491</v>
      </c>
      <c r="F30" s="7" t="s">
        <v>492</v>
      </c>
      <c r="G30" s="7" t="s">
        <v>268</v>
      </c>
      <c r="H30" s="7" t="s">
        <v>284</v>
      </c>
      <c r="I30" s="7" t="s">
        <v>493</v>
      </c>
      <c r="J30" s="7" t="s">
        <v>270</v>
      </c>
      <c r="K30" s="7" t="s">
        <v>114</v>
      </c>
      <c r="L30" s="7" t="s">
        <v>271</v>
      </c>
      <c r="M30" s="7" t="s">
        <v>305</v>
      </c>
      <c r="N30" s="7" t="s">
        <v>494</v>
      </c>
      <c r="O30" s="7" t="s">
        <v>274</v>
      </c>
      <c r="P30" s="7" t="s">
        <v>286</v>
      </c>
      <c r="Q30" s="7" t="s">
        <v>495</v>
      </c>
      <c r="R30" s="7" t="s">
        <v>496</v>
      </c>
    </row>
    <row r="31" customFormat="false" ht="48" hidden="false" customHeight="true" outlineLevel="0" collapsed="false">
      <c r="A31" s="8" t="s">
        <v>497</v>
      </c>
      <c r="B31" s="8" t="s">
        <v>498</v>
      </c>
      <c r="C31" s="8" t="s">
        <v>310</v>
      </c>
      <c r="D31" s="8" t="s">
        <v>499</v>
      </c>
      <c r="E31" s="8" t="s">
        <v>333</v>
      </c>
      <c r="F31" s="8" t="s">
        <v>334</v>
      </c>
      <c r="G31" s="8" t="s">
        <v>268</v>
      </c>
      <c r="H31" s="8" t="s">
        <v>269</v>
      </c>
      <c r="I31" s="8" t="s">
        <v>500</v>
      </c>
      <c r="J31" s="8" t="s">
        <v>270</v>
      </c>
      <c r="K31" s="8" t="s">
        <v>114</v>
      </c>
      <c r="L31" s="8" t="s">
        <v>271</v>
      </c>
      <c r="M31" s="8" t="s">
        <v>305</v>
      </c>
      <c r="N31" s="8" t="s">
        <v>501</v>
      </c>
      <c r="O31" s="8" t="s">
        <v>274</v>
      </c>
      <c r="P31" s="8" t="s">
        <v>286</v>
      </c>
      <c r="Q31" s="8" t="s">
        <v>336</v>
      </c>
      <c r="R31" s="8" t="s">
        <v>502</v>
      </c>
    </row>
    <row r="32" customFormat="false" ht="48" hidden="false" customHeight="true" outlineLevel="0" collapsed="false">
      <c r="A32" s="7" t="s">
        <v>503</v>
      </c>
      <c r="B32" s="7" t="s">
        <v>504</v>
      </c>
      <c r="C32" s="7" t="s">
        <v>505</v>
      </c>
      <c r="D32" s="7" t="s">
        <v>506</v>
      </c>
      <c r="E32" s="7" t="s">
        <v>266</v>
      </c>
      <c r="F32" s="7" t="s">
        <v>507</v>
      </c>
      <c r="G32" s="7" t="s">
        <v>268</v>
      </c>
      <c r="H32" s="7" t="s">
        <v>269</v>
      </c>
      <c r="I32" s="7" t="s">
        <v>93</v>
      </c>
      <c r="J32" s="7" t="s">
        <v>270</v>
      </c>
      <c r="K32" s="7" t="s">
        <v>114</v>
      </c>
      <c r="L32" s="7" t="s">
        <v>271</v>
      </c>
      <c r="M32" s="7" t="s">
        <v>305</v>
      </c>
      <c r="N32" s="7" t="s">
        <v>508</v>
      </c>
      <c r="O32" s="7" t="s">
        <v>274</v>
      </c>
      <c r="P32" s="7" t="s">
        <v>286</v>
      </c>
      <c r="Q32" s="7" t="s">
        <v>509</v>
      </c>
      <c r="R32" s="7" t="s">
        <v>510</v>
      </c>
    </row>
    <row r="33" customFormat="false" ht="48" hidden="false" customHeight="true" outlineLevel="0" collapsed="false">
      <c r="A33" s="8" t="s">
        <v>511</v>
      </c>
      <c r="B33" s="8" t="s">
        <v>512</v>
      </c>
      <c r="C33" s="8" t="s">
        <v>476</v>
      </c>
      <c r="D33" s="8" t="s">
        <v>513</v>
      </c>
      <c r="E33" s="8" t="s">
        <v>392</v>
      </c>
      <c r="F33" s="8" t="s">
        <v>393</v>
      </c>
      <c r="G33" s="8" t="s">
        <v>268</v>
      </c>
      <c r="H33" s="8" t="s">
        <v>269</v>
      </c>
      <c r="I33" s="8" t="s">
        <v>93</v>
      </c>
      <c r="J33" s="8" t="s">
        <v>270</v>
      </c>
      <c r="K33" s="8" t="s">
        <v>114</v>
      </c>
      <c r="L33" s="8" t="s">
        <v>271</v>
      </c>
      <c r="M33" s="8" t="s">
        <v>305</v>
      </c>
      <c r="N33" s="8" t="s">
        <v>514</v>
      </c>
      <c r="O33" s="8" t="s">
        <v>274</v>
      </c>
      <c r="P33" s="8" t="s">
        <v>286</v>
      </c>
      <c r="Q33" s="8" t="s">
        <v>395</v>
      </c>
      <c r="R33" s="8" t="s">
        <v>515</v>
      </c>
    </row>
    <row r="34" customFormat="false" ht="48" hidden="false" customHeight="true" outlineLevel="0" collapsed="false">
      <c r="A34" s="7" t="s">
        <v>516</v>
      </c>
      <c r="B34" s="7" t="s">
        <v>517</v>
      </c>
      <c r="C34" s="7" t="s">
        <v>310</v>
      </c>
      <c r="D34" s="7" t="s">
        <v>518</v>
      </c>
      <c r="E34" s="7" t="s">
        <v>519</v>
      </c>
      <c r="F34" s="7" t="s">
        <v>520</v>
      </c>
      <c r="G34" s="7" t="s">
        <v>268</v>
      </c>
      <c r="H34" s="7" t="s">
        <v>521</v>
      </c>
      <c r="I34" s="7" t="s">
        <v>522</v>
      </c>
      <c r="J34" s="7" t="s">
        <v>270</v>
      </c>
      <c r="K34" s="7" t="s">
        <v>114</v>
      </c>
      <c r="L34" s="7" t="s">
        <v>523</v>
      </c>
      <c r="M34" s="7" t="s">
        <v>524</v>
      </c>
      <c r="N34" s="7" t="s">
        <v>525</v>
      </c>
      <c r="O34" s="7" t="s">
        <v>452</v>
      </c>
      <c r="P34" s="7" t="s">
        <v>286</v>
      </c>
      <c r="Q34" s="7" t="s">
        <v>526</v>
      </c>
      <c r="R34" s="7" t="s">
        <v>527</v>
      </c>
    </row>
    <row r="35" customFormat="false" ht="48" hidden="false" customHeight="true" outlineLevel="0" collapsed="false">
      <c r="A35" s="8" t="s">
        <v>528</v>
      </c>
      <c r="B35" s="8" t="s">
        <v>529</v>
      </c>
      <c r="C35" s="8" t="s">
        <v>530</v>
      </c>
      <c r="D35" s="8" t="s">
        <v>531</v>
      </c>
      <c r="E35" s="8" t="s">
        <v>282</v>
      </c>
      <c r="F35" s="8" t="s">
        <v>532</v>
      </c>
      <c r="G35" s="8" t="s">
        <v>268</v>
      </c>
      <c r="H35" s="8" t="s">
        <v>269</v>
      </c>
      <c r="I35" s="8" t="s">
        <v>93</v>
      </c>
      <c r="J35" s="8" t="s">
        <v>270</v>
      </c>
      <c r="K35" s="8" t="s">
        <v>114</v>
      </c>
      <c r="L35" s="8" t="s">
        <v>271</v>
      </c>
      <c r="M35" s="8" t="s">
        <v>305</v>
      </c>
      <c r="N35" s="8" t="s">
        <v>533</v>
      </c>
      <c r="O35" s="8" t="s">
        <v>274</v>
      </c>
      <c r="P35" s="8" t="s">
        <v>286</v>
      </c>
      <c r="Q35" s="8" t="s">
        <v>287</v>
      </c>
      <c r="R35" s="8" t="s">
        <v>534</v>
      </c>
    </row>
    <row r="36" customFormat="false" ht="48" hidden="false" customHeight="true" outlineLevel="0" collapsed="false">
      <c r="A36" s="7" t="s">
        <v>535</v>
      </c>
      <c r="B36" s="7" t="s">
        <v>536</v>
      </c>
      <c r="C36" s="7" t="s">
        <v>405</v>
      </c>
      <c r="D36" s="7" t="s">
        <v>537</v>
      </c>
      <c r="E36" s="7" t="s">
        <v>538</v>
      </c>
      <c r="F36" s="7" t="s">
        <v>294</v>
      </c>
      <c r="G36" s="7" t="s">
        <v>268</v>
      </c>
      <c r="H36" s="7" t="s">
        <v>269</v>
      </c>
      <c r="I36" s="7" t="s">
        <v>93</v>
      </c>
      <c r="J36" s="7" t="s">
        <v>270</v>
      </c>
      <c r="K36" s="7" t="s">
        <v>114</v>
      </c>
      <c r="L36" s="7" t="s">
        <v>271</v>
      </c>
      <c r="M36" s="7" t="s">
        <v>305</v>
      </c>
      <c r="N36" s="7" t="s">
        <v>539</v>
      </c>
      <c r="O36" s="7" t="s">
        <v>274</v>
      </c>
      <c r="P36" s="7" t="s">
        <v>286</v>
      </c>
      <c r="Q36" s="7" t="s">
        <v>426</v>
      </c>
      <c r="R36" s="7" t="s">
        <v>540</v>
      </c>
    </row>
    <row r="37" customFormat="false" ht="48" hidden="false" customHeight="true" outlineLevel="0" collapsed="false">
      <c r="A37" s="8" t="s">
        <v>541</v>
      </c>
      <c r="B37" s="8" t="s">
        <v>542</v>
      </c>
      <c r="C37" s="8" t="s">
        <v>399</v>
      </c>
      <c r="D37" s="8" t="s">
        <v>543</v>
      </c>
      <c r="E37" s="8" t="s">
        <v>282</v>
      </c>
      <c r="F37" s="8" t="s">
        <v>304</v>
      </c>
      <c r="G37" s="8" t="s">
        <v>268</v>
      </c>
      <c r="H37" s="8" t="s">
        <v>284</v>
      </c>
      <c r="I37" s="8" t="s">
        <v>544</v>
      </c>
      <c r="J37" s="8" t="s">
        <v>270</v>
      </c>
      <c r="K37" s="8" t="s">
        <v>114</v>
      </c>
      <c r="L37" s="8" t="s">
        <v>545</v>
      </c>
      <c r="M37" s="8" t="s">
        <v>546</v>
      </c>
      <c r="N37" s="8" t="s">
        <v>547</v>
      </c>
      <c r="O37" s="8" t="s">
        <v>274</v>
      </c>
      <c r="P37" s="8" t="s">
        <v>286</v>
      </c>
      <c r="Q37" s="8" t="s">
        <v>548</v>
      </c>
      <c r="R37" s="8" t="s">
        <v>549</v>
      </c>
    </row>
    <row r="38" customFormat="false" ht="48" hidden="false" customHeight="true" outlineLevel="0" collapsed="false">
      <c r="A38" s="7" t="s">
        <v>550</v>
      </c>
      <c r="B38" s="7" t="s">
        <v>551</v>
      </c>
      <c r="C38" s="7" t="s">
        <v>464</v>
      </c>
      <c r="D38" s="7" t="s">
        <v>552</v>
      </c>
      <c r="E38" s="7" t="s">
        <v>282</v>
      </c>
      <c r="F38" s="7" t="s">
        <v>304</v>
      </c>
      <c r="G38" s="7" t="s">
        <v>268</v>
      </c>
      <c r="H38" s="7" t="s">
        <v>269</v>
      </c>
      <c r="I38" s="7" t="s">
        <v>93</v>
      </c>
      <c r="J38" s="7" t="s">
        <v>270</v>
      </c>
      <c r="K38" s="7" t="s">
        <v>114</v>
      </c>
      <c r="L38" s="7" t="s">
        <v>271</v>
      </c>
      <c r="M38" s="7" t="s">
        <v>305</v>
      </c>
      <c r="N38" s="7" t="s">
        <v>553</v>
      </c>
      <c r="O38" s="7" t="s">
        <v>274</v>
      </c>
      <c r="P38" s="7" t="s">
        <v>286</v>
      </c>
      <c r="Q38" s="7" t="s">
        <v>287</v>
      </c>
      <c r="R38" s="7" t="s">
        <v>554</v>
      </c>
    </row>
    <row r="39" customFormat="false" ht="48" hidden="false" customHeight="true" outlineLevel="0" collapsed="false">
      <c r="A39" s="8" t="s">
        <v>555</v>
      </c>
      <c r="B39" s="8" t="s">
        <v>556</v>
      </c>
      <c r="C39" s="8" t="s">
        <v>310</v>
      </c>
      <c r="D39" s="8" t="s">
        <v>557</v>
      </c>
      <c r="E39" s="8" t="s">
        <v>282</v>
      </c>
      <c r="F39" s="8" t="s">
        <v>304</v>
      </c>
      <c r="G39" s="8" t="s">
        <v>268</v>
      </c>
      <c r="H39" s="8" t="s">
        <v>269</v>
      </c>
      <c r="I39" s="8" t="s">
        <v>93</v>
      </c>
      <c r="J39" s="8" t="s">
        <v>270</v>
      </c>
      <c r="K39" s="8" t="s">
        <v>114</v>
      </c>
      <c r="L39" s="8" t="s">
        <v>271</v>
      </c>
      <c r="M39" s="8" t="s">
        <v>305</v>
      </c>
      <c r="N39" s="8" t="s">
        <v>558</v>
      </c>
      <c r="O39" s="8" t="s">
        <v>274</v>
      </c>
      <c r="P39" s="8" t="s">
        <v>286</v>
      </c>
      <c r="Q39" s="8" t="s">
        <v>287</v>
      </c>
      <c r="R39" s="8" t="s">
        <v>559</v>
      </c>
    </row>
    <row r="40" customFormat="false" ht="48" hidden="false" customHeight="true" outlineLevel="0" collapsed="false">
      <c r="A40" s="7" t="s">
        <v>560</v>
      </c>
      <c r="B40" s="7" t="s">
        <v>561</v>
      </c>
      <c r="C40" s="7" t="s">
        <v>562</v>
      </c>
      <c r="D40" s="7" t="s">
        <v>563</v>
      </c>
      <c r="E40" s="7" t="s">
        <v>564</v>
      </c>
      <c r="F40" s="7" t="s">
        <v>565</v>
      </c>
      <c r="G40" s="7" t="s">
        <v>268</v>
      </c>
      <c r="H40" s="7" t="s">
        <v>269</v>
      </c>
      <c r="I40" s="7" t="s">
        <v>93</v>
      </c>
      <c r="J40" s="7" t="s">
        <v>270</v>
      </c>
      <c r="K40" s="7" t="s">
        <v>114</v>
      </c>
      <c r="L40" s="7" t="s">
        <v>566</v>
      </c>
      <c r="M40" s="7" t="s">
        <v>567</v>
      </c>
      <c r="N40" s="7" t="s">
        <v>568</v>
      </c>
      <c r="O40" s="7" t="s">
        <v>274</v>
      </c>
      <c r="P40" s="7" t="s">
        <v>286</v>
      </c>
      <c r="Q40" s="7" t="s">
        <v>569</v>
      </c>
      <c r="R40" s="7" t="s">
        <v>570</v>
      </c>
    </row>
    <row r="41" customFormat="false" ht="48" hidden="false" customHeight="true" outlineLevel="0" collapsed="false">
      <c r="A41" s="8" t="s">
        <v>571</v>
      </c>
      <c r="B41" s="8" t="s">
        <v>572</v>
      </c>
      <c r="C41" s="8" t="s">
        <v>310</v>
      </c>
      <c r="D41" s="8" t="s">
        <v>573</v>
      </c>
      <c r="E41" s="8" t="s">
        <v>282</v>
      </c>
      <c r="F41" s="8" t="s">
        <v>304</v>
      </c>
      <c r="G41" s="8" t="s">
        <v>268</v>
      </c>
      <c r="H41" s="8" t="s">
        <v>342</v>
      </c>
      <c r="I41" s="8" t="s">
        <v>93</v>
      </c>
      <c r="J41" s="8" t="s">
        <v>270</v>
      </c>
      <c r="K41" s="8" t="s">
        <v>114</v>
      </c>
      <c r="L41" s="8" t="s">
        <v>271</v>
      </c>
      <c r="M41" s="8" t="s">
        <v>305</v>
      </c>
      <c r="N41" s="8" t="s">
        <v>574</v>
      </c>
      <c r="O41" s="8" t="s">
        <v>274</v>
      </c>
      <c r="P41" s="8" t="s">
        <v>286</v>
      </c>
      <c r="Q41" s="8" t="s">
        <v>287</v>
      </c>
      <c r="R41" s="8" t="s">
        <v>575</v>
      </c>
    </row>
    <row r="42" customFormat="false" ht="48" hidden="false" customHeight="true" outlineLevel="0" collapsed="false">
      <c r="A42" s="9" t="s">
        <v>576</v>
      </c>
      <c r="B42" s="9" t="s">
        <v>577</v>
      </c>
      <c r="C42" s="9" t="s">
        <v>578</v>
      </c>
      <c r="D42" s="9" t="s">
        <v>579</v>
      </c>
      <c r="E42" s="9" t="s">
        <v>580</v>
      </c>
      <c r="F42" s="9" t="s">
        <v>581</v>
      </c>
      <c r="G42" s="9" t="s">
        <v>582</v>
      </c>
      <c r="H42" s="9" t="s">
        <v>284</v>
      </c>
      <c r="I42" s="9" t="s">
        <v>583</v>
      </c>
      <c r="J42" s="9" t="s">
        <v>584</v>
      </c>
      <c r="K42" s="9" t="s">
        <v>114</v>
      </c>
      <c r="L42" s="9" t="s">
        <v>585</v>
      </c>
      <c r="M42" s="9" t="s">
        <v>586</v>
      </c>
      <c r="N42" s="9" t="s">
        <v>587</v>
      </c>
      <c r="O42" s="9" t="s">
        <v>588</v>
      </c>
      <c r="P42" s="9" t="s">
        <v>275</v>
      </c>
      <c r="Q42" s="9" t="s">
        <v>589</v>
      </c>
      <c r="R42" s="9" t="s">
        <v>590</v>
      </c>
    </row>
    <row r="43" customFormat="false" ht="48" hidden="false" customHeight="true" outlineLevel="0" collapsed="false">
      <c r="A43" s="9" t="s">
        <v>591</v>
      </c>
      <c r="B43" s="9" t="s">
        <v>592</v>
      </c>
      <c r="C43" s="9" t="s">
        <v>593</v>
      </c>
      <c r="D43" s="9" t="s">
        <v>594</v>
      </c>
      <c r="E43" s="9" t="s">
        <v>595</v>
      </c>
      <c r="F43" s="9" t="s">
        <v>596</v>
      </c>
      <c r="G43" s="9" t="s">
        <v>268</v>
      </c>
      <c r="H43" s="9" t="s">
        <v>269</v>
      </c>
      <c r="I43" s="9" t="s">
        <v>93</v>
      </c>
      <c r="J43" s="9" t="s">
        <v>270</v>
      </c>
      <c r="K43" s="9" t="s">
        <v>114</v>
      </c>
      <c r="L43" s="9" t="s">
        <v>271</v>
      </c>
      <c r="M43" s="9" t="s">
        <v>305</v>
      </c>
      <c r="N43" s="9" t="s">
        <v>597</v>
      </c>
      <c r="O43" s="9" t="s">
        <v>274</v>
      </c>
      <c r="P43" s="9" t="s">
        <v>286</v>
      </c>
      <c r="Q43" s="9" t="s">
        <v>598</v>
      </c>
      <c r="R43" s="9" t="s">
        <v>599</v>
      </c>
    </row>
    <row r="44" customFormat="false" ht="48" hidden="false" customHeight="true" outlineLevel="0" collapsed="false">
      <c r="A44" s="7" t="s">
        <v>600</v>
      </c>
      <c r="B44" s="7" t="s">
        <v>601</v>
      </c>
      <c r="C44" s="7" t="s">
        <v>602</v>
      </c>
      <c r="D44" s="7" t="s">
        <v>603</v>
      </c>
      <c r="E44" s="7" t="s">
        <v>282</v>
      </c>
      <c r="F44" s="7" t="s">
        <v>304</v>
      </c>
      <c r="G44" s="7" t="s">
        <v>268</v>
      </c>
      <c r="H44" s="7" t="s">
        <v>269</v>
      </c>
      <c r="I44" s="7" t="s">
        <v>93</v>
      </c>
      <c r="J44" s="7" t="s">
        <v>270</v>
      </c>
      <c r="K44" s="7" t="s">
        <v>114</v>
      </c>
      <c r="L44" s="7" t="s">
        <v>271</v>
      </c>
      <c r="M44" s="7" t="s">
        <v>305</v>
      </c>
      <c r="N44" s="7" t="s">
        <v>604</v>
      </c>
      <c r="O44" s="7" t="s">
        <v>274</v>
      </c>
      <c r="P44" s="7" t="s">
        <v>286</v>
      </c>
      <c r="Q44" s="7" t="s">
        <v>287</v>
      </c>
      <c r="R44" s="7" t="s">
        <v>605</v>
      </c>
    </row>
    <row r="45" customFormat="false" ht="48" hidden="false" customHeight="true" outlineLevel="0" collapsed="false">
      <c r="A45" s="9" t="s">
        <v>606</v>
      </c>
      <c r="B45" s="9" t="s">
        <v>607</v>
      </c>
      <c r="C45" s="9" t="s">
        <v>464</v>
      </c>
      <c r="D45" s="9" t="s">
        <v>608</v>
      </c>
      <c r="E45" s="9" t="s">
        <v>609</v>
      </c>
      <c r="F45" s="9" t="s">
        <v>610</v>
      </c>
      <c r="G45" s="9" t="s">
        <v>268</v>
      </c>
      <c r="H45" s="9" t="s">
        <v>342</v>
      </c>
      <c r="I45" s="9" t="s">
        <v>611</v>
      </c>
      <c r="J45" s="9" t="s">
        <v>270</v>
      </c>
      <c r="K45" s="9" t="s">
        <v>114</v>
      </c>
      <c r="L45" s="9" t="s">
        <v>612</v>
      </c>
      <c r="M45" s="9" t="s">
        <v>613</v>
      </c>
      <c r="N45" s="9" t="s">
        <v>614</v>
      </c>
      <c r="O45" s="9" t="s">
        <v>274</v>
      </c>
      <c r="P45" s="9" t="s">
        <v>275</v>
      </c>
      <c r="Q45" s="9" t="s">
        <v>615</v>
      </c>
      <c r="R45" s="9" t="s">
        <v>616</v>
      </c>
    </row>
    <row r="46" customFormat="false" ht="48" hidden="false" customHeight="true" outlineLevel="0" collapsed="false">
      <c r="A46" s="7" t="s">
        <v>617</v>
      </c>
      <c r="B46" s="7" t="s">
        <v>618</v>
      </c>
      <c r="C46" s="7" t="s">
        <v>619</v>
      </c>
      <c r="D46" s="7" t="s">
        <v>620</v>
      </c>
      <c r="E46" s="7" t="s">
        <v>392</v>
      </c>
      <c r="F46" s="7" t="s">
        <v>393</v>
      </c>
      <c r="G46" s="7" t="s">
        <v>268</v>
      </c>
      <c r="H46" s="7" t="s">
        <v>284</v>
      </c>
      <c r="I46" s="7" t="s">
        <v>93</v>
      </c>
      <c r="J46" s="7" t="s">
        <v>270</v>
      </c>
      <c r="K46" s="7" t="s">
        <v>114</v>
      </c>
      <c r="L46" s="7" t="s">
        <v>271</v>
      </c>
      <c r="M46" s="7" t="s">
        <v>305</v>
      </c>
      <c r="N46" s="7" t="s">
        <v>621</v>
      </c>
      <c r="O46" s="7" t="s">
        <v>274</v>
      </c>
      <c r="P46" s="7" t="s">
        <v>286</v>
      </c>
      <c r="Q46" s="7" t="s">
        <v>395</v>
      </c>
      <c r="R46" s="7" t="s">
        <v>622</v>
      </c>
    </row>
    <row r="47" customFormat="false" ht="48" hidden="false" customHeight="true" outlineLevel="0" collapsed="false">
      <c r="A47" s="8" t="s">
        <v>623</v>
      </c>
      <c r="B47" s="8" t="s">
        <v>624</v>
      </c>
      <c r="C47" s="8" t="s">
        <v>310</v>
      </c>
      <c r="D47" s="8" t="s">
        <v>625</v>
      </c>
      <c r="E47" s="8" t="s">
        <v>626</v>
      </c>
      <c r="F47" s="8" t="s">
        <v>393</v>
      </c>
      <c r="G47" s="8" t="s">
        <v>268</v>
      </c>
      <c r="H47" s="8" t="s">
        <v>342</v>
      </c>
      <c r="I47" s="8" t="s">
        <v>459</v>
      </c>
      <c r="J47" s="8" t="s">
        <v>270</v>
      </c>
      <c r="K47" s="8" t="s">
        <v>114</v>
      </c>
      <c r="L47" s="8" t="s">
        <v>271</v>
      </c>
      <c r="M47" s="8" t="s">
        <v>305</v>
      </c>
      <c r="N47" s="8" t="s">
        <v>627</v>
      </c>
      <c r="O47" s="8" t="s">
        <v>452</v>
      </c>
      <c r="P47" s="8" t="s">
        <v>286</v>
      </c>
      <c r="Q47" s="8" t="s">
        <v>395</v>
      </c>
      <c r="R47" s="8" t="s">
        <v>628</v>
      </c>
    </row>
    <row r="48" customFormat="false" ht="48" hidden="false" customHeight="true" outlineLevel="0" collapsed="false">
      <c r="A48" s="9" t="s">
        <v>629</v>
      </c>
      <c r="B48" s="9" t="s">
        <v>630</v>
      </c>
      <c r="C48" s="9" t="s">
        <v>310</v>
      </c>
      <c r="D48" s="9" t="s">
        <v>631</v>
      </c>
      <c r="E48" s="9" t="s">
        <v>632</v>
      </c>
      <c r="F48" s="9" t="s">
        <v>633</v>
      </c>
      <c r="G48" s="9" t="s">
        <v>582</v>
      </c>
      <c r="H48" s="9" t="s">
        <v>342</v>
      </c>
      <c r="I48" s="9" t="s">
        <v>634</v>
      </c>
      <c r="J48" s="9" t="s">
        <v>270</v>
      </c>
      <c r="K48" s="9" t="s">
        <v>114</v>
      </c>
      <c r="L48" s="9" t="s">
        <v>635</v>
      </c>
      <c r="M48" s="9" t="s">
        <v>636</v>
      </c>
      <c r="N48" s="9" t="s">
        <v>637</v>
      </c>
      <c r="O48" s="9" t="s">
        <v>274</v>
      </c>
      <c r="P48" s="9" t="s">
        <v>275</v>
      </c>
      <c r="Q48" s="9" t="s">
        <v>638</v>
      </c>
      <c r="R48" s="9" t="s">
        <v>639</v>
      </c>
    </row>
    <row r="49" customFormat="false" ht="48" hidden="false" customHeight="true" outlineLevel="0" collapsed="false">
      <c r="A49" s="8" t="s">
        <v>640</v>
      </c>
      <c r="B49" s="8" t="s">
        <v>641</v>
      </c>
      <c r="C49" s="8" t="s">
        <v>642</v>
      </c>
      <c r="D49" s="8" t="s">
        <v>643</v>
      </c>
      <c r="E49" s="8" t="s">
        <v>644</v>
      </c>
      <c r="F49" s="8" t="s">
        <v>645</v>
      </c>
      <c r="G49" s="8" t="s">
        <v>268</v>
      </c>
      <c r="H49" s="8" t="s">
        <v>284</v>
      </c>
      <c r="I49" s="8" t="s">
        <v>646</v>
      </c>
      <c r="J49" s="8" t="s">
        <v>270</v>
      </c>
      <c r="K49" s="8" t="s">
        <v>114</v>
      </c>
      <c r="L49" s="8" t="s">
        <v>271</v>
      </c>
      <c r="M49" s="8" t="s">
        <v>305</v>
      </c>
      <c r="N49" s="8" t="s">
        <v>647</v>
      </c>
      <c r="O49" s="8" t="s">
        <v>452</v>
      </c>
      <c r="P49" s="8" t="s">
        <v>286</v>
      </c>
      <c r="Q49" s="8" t="s">
        <v>648</v>
      </c>
      <c r="R49" s="8" t="s">
        <v>649</v>
      </c>
    </row>
    <row r="50" customFormat="false" ht="48" hidden="false" customHeight="true" outlineLevel="0" collapsed="false">
      <c r="A50" s="7" t="s">
        <v>650</v>
      </c>
      <c r="B50" s="7" t="s">
        <v>651</v>
      </c>
      <c r="C50" s="7" t="s">
        <v>310</v>
      </c>
      <c r="D50" s="7" t="s">
        <v>652</v>
      </c>
      <c r="E50" s="7" t="s">
        <v>333</v>
      </c>
      <c r="F50" s="7" t="s">
        <v>334</v>
      </c>
      <c r="G50" s="7" t="s">
        <v>268</v>
      </c>
      <c r="H50" s="7" t="s">
        <v>269</v>
      </c>
      <c r="I50" s="7" t="s">
        <v>93</v>
      </c>
      <c r="J50" s="7" t="s">
        <v>270</v>
      </c>
      <c r="K50" s="7" t="s">
        <v>114</v>
      </c>
      <c r="L50" s="7" t="s">
        <v>271</v>
      </c>
      <c r="M50" s="7" t="s">
        <v>305</v>
      </c>
      <c r="N50" s="7" t="s">
        <v>653</v>
      </c>
      <c r="O50" s="7" t="s">
        <v>274</v>
      </c>
      <c r="P50" s="7" t="s">
        <v>286</v>
      </c>
      <c r="Q50" s="7" t="s">
        <v>336</v>
      </c>
      <c r="R50" s="7" t="s">
        <v>654</v>
      </c>
    </row>
    <row r="51" customFormat="false" ht="48" hidden="false" customHeight="true" outlineLevel="0" collapsed="false">
      <c r="A51" s="8" t="s">
        <v>655</v>
      </c>
      <c r="B51" s="8" t="s">
        <v>656</v>
      </c>
      <c r="C51" s="8" t="s">
        <v>310</v>
      </c>
      <c r="D51" s="8" t="s">
        <v>657</v>
      </c>
      <c r="E51" s="8" t="s">
        <v>478</v>
      </c>
      <c r="F51" s="8" t="s">
        <v>479</v>
      </c>
      <c r="G51" s="8" t="s">
        <v>268</v>
      </c>
      <c r="H51" s="8" t="s">
        <v>269</v>
      </c>
      <c r="I51" s="8" t="s">
        <v>93</v>
      </c>
      <c r="J51" s="8" t="s">
        <v>270</v>
      </c>
      <c r="K51" s="8" t="s">
        <v>114</v>
      </c>
      <c r="L51" s="8" t="s">
        <v>271</v>
      </c>
      <c r="M51" s="8" t="s">
        <v>305</v>
      </c>
      <c r="N51" s="8" t="s">
        <v>658</v>
      </c>
      <c r="O51" s="8" t="s">
        <v>274</v>
      </c>
      <c r="P51" s="8" t="s">
        <v>286</v>
      </c>
      <c r="Q51" s="8" t="s">
        <v>481</v>
      </c>
      <c r="R51" s="8" t="s">
        <v>659</v>
      </c>
    </row>
    <row r="52" customFormat="false" ht="48" hidden="false" customHeight="true" outlineLevel="0" collapsed="false">
      <c r="A52" s="7" t="s">
        <v>660</v>
      </c>
      <c r="B52" s="7" t="s">
        <v>661</v>
      </c>
      <c r="C52" s="7" t="s">
        <v>662</v>
      </c>
      <c r="D52" s="7" t="s">
        <v>663</v>
      </c>
      <c r="E52" s="7" t="s">
        <v>538</v>
      </c>
      <c r="F52" s="7" t="s">
        <v>294</v>
      </c>
      <c r="G52" s="7" t="s">
        <v>268</v>
      </c>
      <c r="H52" s="7" t="s">
        <v>269</v>
      </c>
      <c r="I52" s="7" t="s">
        <v>93</v>
      </c>
      <c r="J52" s="7" t="s">
        <v>270</v>
      </c>
      <c r="K52" s="7" t="s">
        <v>114</v>
      </c>
      <c r="L52" s="7" t="s">
        <v>271</v>
      </c>
      <c r="M52" s="7" t="s">
        <v>305</v>
      </c>
      <c r="N52" s="7" t="s">
        <v>664</v>
      </c>
      <c r="O52" s="7" t="s">
        <v>274</v>
      </c>
      <c r="P52" s="7" t="s">
        <v>286</v>
      </c>
      <c r="Q52" s="7" t="s">
        <v>426</v>
      </c>
      <c r="R52" s="7" t="s">
        <v>665</v>
      </c>
    </row>
    <row r="53" customFormat="false" ht="48" hidden="false" customHeight="true" outlineLevel="0" collapsed="false">
      <c r="A53" s="8" t="s">
        <v>666</v>
      </c>
      <c r="B53" s="8" t="s">
        <v>667</v>
      </c>
      <c r="C53" s="8" t="s">
        <v>668</v>
      </c>
      <c r="D53" s="8" t="s">
        <v>669</v>
      </c>
      <c r="E53" s="8" t="s">
        <v>670</v>
      </c>
      <c r="F53" s="8" t="s">
        <v>479</v>
      </c>
      <c r="G53" s="8" t="s">
        <v>671</v>
      </c>
      <c r="H53" s="8" t="s">
        <v>284</v>
      </c>
      <c r="I53" s="8" t="s">
        <v>93</v>
      </c>
      <c r="J53" s="8" t="s">
        <v>270</v>
      </c>
      <c r="K53" s="8" t="s">
        <v>114</v>
      </c>
      <c r="L53" s="8" t="s">
        <v>271</v>
      </c>
      <c r="M53" s="8" t="s">
        <v>305</v>
      </c>
      <c r="N53" s="8" t="s">
        <v>672</v>
      </c>
      <c r="O53" s="8" t="s">
        <v>274</v>
      </c>
      <c r="P53" s="8" t="s">
        <v>286</v>
      </c>
      <c r="Q53" s="8" t="s">
        <v>481</v>
      </c>
      <c r="R53" s="8" t="s">
        <v>673</v>
      </c>
    </row>
    <row r="54" customFormat="false" ht="48" hidden="false" customHeight="true" outlineLevel="0" collapsed="false">
      <c r="A54" s="7" t="s">
        <v>674</v>
      </c>
      <c r="B54" s="7" t="s">
        <v>675</v>
      </c>
      <c r="C54" s="7" t="s">
        <v>676</v>
      </c>
      <c r="D54" s="7" t="s">
        <v>677</v>
      </c>
      <c r="E54" s="7" t="s">
        <v>282</v>
      </c>
      <c r="F54" s="7" t="s">
        <v>304</v>
      </c>
      <c r="G54" s="7" t="s">
        <v>268</v>
      </c>
      <c r="H54" s="7" t="s">
        <v>284</v>
      </c>
      <c r="I54" s="7" t="s">
        <v>93</v>
      </c>
      <c r="J54" s="7" t="s">
        <v>270</v>
      </c>
      <c r="K54" s="7" t="s">
        <v>114</v>
      </c>
      <c r="L54" s="7" t="s">
        <v>271</v>
      </c>
      <c r="M54" s="7" t="s">
        <v>305</v>
      </c>
      <c r="N54" s="7" t="s">
        <v>678</v>
      </c>
      <c r="O54" s="7" t="s">
        <v>274</v>
      </c>
      <c r="P54" s="7" t="s">
        <v>286</v>
      </c>
      <c r="Q54" s="7" t="s">
        <v>287</v>
      </c>
      <c r="R54" s="7" t="s">
        <v>679</v>
      </c>
    </row>
    <row r="55" customFormat="false" ht="48" hidden="false" customHeight="true" outlineLevel="0" collapsed="false">
      <c r="A55" s="8" t="s">
        <v>680</v>
      </c>
      <c r="B55" s="8" t="s">
        <v>681</v>
      </c>
      <c r="C55" s="8" t="s">
        <v>682</v>
      </c>
      <c r="D55" s="8" t="s">
        <v>683</v>
      </c>
      <c r="E55" s="8" t="s">
        <v>333</v>
      </c>
      <c r="F55" s="8" t="s">
        <v>334</v>
      </c>
      <c r="G55" s="8" t="s">
        <v>268</v>
      </c>
      <c r="H55" s="8" t="s">
        <v>269</v>
      </c>
      <c r="I55" s="8" t="s">
        <v>93</v>
      </c>
      <c r="J55" s="8" t="s">
        <v>270</v>
      </c>
      <c r="K55" s="8" t="s">
        <v>114</v>
      </c>
      <c r="L55" s="8" t="s">
        <v>271</v>
      </c>
      <c r="M55" s="8" t="s">
        <v>305</v>
      </c>
      <c r="N55" s="8" t="s">
        <v>684</v>
      </c>
      <c r="O55" s="8" t="s">
        <v>274</v>
      </c>
      <c r="P55" s="8" t="s">
        <v>286</v>
      </c>
      <c r="Q55" s="8" t="s">
        <v>336</v>
      </c>
      <c r="R55" s="8" t="s">
        <v>685</v>
      </c>
    </row>
    <row r="56" customFormat="false" ht="48" hidden="false" customHeight="true" outlineLevel="0" collapsed="false">
      <c r="A56" s="9" t="s">
        <v>686</v>
      </c>
      <c r="B56" s="9" t="s">
        <v>687</v>
      </c>
      <c r="C56" s="9" t="s">
        <v>688</v>
      </c>
      <c r="D56" s="9" t="s">
        <v>689</v>
      </c>
      <c r="E56" s="9" t="s">
        <v>690</v>
      </c>
      <c r="F56" s="9" t="s">
        <v>691</v>
      </c>
      <c r="G56" s="9" t="s">
        <v>268</v>
      </c>
      <c r="H56" s="9" t="s">
        <v>284</v>
      </c>
      <c r="I56" s="9" t="s">
        <v>93</v>
      </c>
      <c r="J56" s="9" t="s">
        <v>270</v>
      </c>
      <c r="K56" s="9" t="s">
        <v>114</v>
      </c>
      <c r="L56" s="9" t="s">
        <v>271</v>
      </c>
      <c r="M56" s="9" t="s">
        <v>305</v>
      </c>
      <c r="N56" s="9" t="s">
        <v>692</v>
      </c>
      <c r="O56" s="9" t="s">
        <v>274</v>
      </c>
      <c r="P56" s="9" t="s">
        <v>286</v>
      </c>
      <c r="Q56" s="9" t="s">
        <v>693</v>
      </c>
      <c r="R56" s="9" t="s">
        <v>694</v>
      </c>
    </row>
    <row r="57" customFormat="false" ht="48" hidden="false" customHeight="true" outlineLevel="0" collapsed="false">
      <c r="A57" s="8" t="s">
        <v>695</v>
      </c>
      <c r="B57" s="8" t="s">
        <v>696</v>
      </c>
      <c r="C57" s="8" t="s">
        <v>697</v>
      </c>
      <c r="D57" s="8" t="s">
        <v>698</v>
      </c>
      <c r="E57" s="8" t="s">
        <v>266</v>
      </c>
      <c r="F57" s="8" t="s">
        <v>507</v>
      </c>
      <c r="G57" s="8" t="s">
        <v>268</v>
      </c>
      <c r="H57" s="8" t="s">
        <v>284</v>
      </c>
      <c r="I57" s="8" t="s">
        <v>93</v>
      </c>
      <c r="J57" s="8" t="s">
        <v>270</v>
      </c>
      <c r="K57" s="8" t="s">
        <v>114</v>
      </c>
      <c r="L57" s="8" t="s">
        <v>271</v>
      </c>
      <c r="M57" s="8" t="s">
        <v>305</v>
      </c>
      <c r="N57" s="8" t="s">
        <v>699</v>
      </c>
      <c r="O57" s="8" t="s">
        <v>274</v>
      </c>
      <c r="P57" s="8" t="s">
        <v>286</v>
      </c>
      <c r="Q57" s="8" t="s">
        <v>509</v>
      </c>
      <c r="R57" s="8" t="s">
        <v>700</v>
      </c>
    </row>
  </sheetData>
  <autoFilter ref="A1:R57"/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&amp;LAnnex D · current US DL/ID faces</oddHeader>
    <oddFooter>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32"/>
    <col collapsed="false" customWidth="true" hidden="false" outlineLevel="0" max="6" min="6" style="1" width="16"/>
    <col collapsed="false" customWidth="true" hidden="false" outlineLevel="0" max="7" min="7" style="1" width="44"/>
    <col collapsed="false" customWidth="true" hidden="false" outlineLevel="0" max="8" min="8" style="1" width="28"/>
    <col collapsed="false" customWidth="true" hidden="false" outlineLevel="0" max="9" min="9" style="1" width="14"/>
    <col collapsed="false" customWidth="true" hidden="false" outlineLevel="0" max="11" min="10" style="1" width="36"/>
    <col collapsed="false" customWidth="true" hidden="false" outlineLevel="0" max="12" min="12" style="1" width="22"/>
    <col collapsed="false" customWidth="true" hidden="false" outlineLevel="0" max="13" min="13" style="1" width="28"/>
  </cols>
  <sheetData>
    <row r="1" customFormat="false" ht="27.75" hidden="false" customHeight="true" outlineLevel="0" collapsed="false">
      <c r="A1" s="2" t="s">
        <v>245</v>
      </c>
      <c r="B1" s="2" t="s">
        <v>246</v>
      </c>
      <c r="C1" s="2" t="s">
        <v>701</v>
      </c>
      <c r="D1" s="2" t="s">
        <v>702</v>
      </c>
      <c r="E1" s="2" t="s">
        <v>703</v>
      </c>
      <c r="F1" s="2" t="s">
        <v>704</v>
      </c>
      <c r="G1" s="2" t="s">
        <v>705</v>
      </c>
      <c r="H1" s="2" t="s">
        <v>706</v>
      </c>
      <c r="I1" s="2" t="s">
        <v>707</v>
      </c>
      <c r="J1" s="2" t="s">
        <v>708</v>
      </c>
      <c r="K1" s="2" t="s">
        <v>709</v>
      </c>
      <c r="L1" s="2" t="s">
        <v>710</v>
      </c>
      <c r="M1" s="2" t="s">
        <v>711</v>
      </c>
    </row>
    <row r="2" customFormat="false" ht="36" hidden="false" customHeight="true" outlineLevel="0" collapsed="false">
      <c r="A2" s="3" t="s">
        <v>262</v>
      </c>
      <c r="B2" s="3" t="s">
        <v>263</v>
      </c>
      <c r="C2" s="3" t="s">
        <v>266</v>
      </c>
      <c r="D2" s="3" t="n">
        <v>2020</v>
      </c>
      <c r="E2" s="3" t="s">
        <v>712</v>
      </c>
      <c r="F2" s="3" t="s">
        <v>713</v>
      </c>
      <c r="G2" s="3" t="s">
        <v>714</v>
      </c>
      <c r="H2" s="3" t="s">
        <v>715</v>
      </c>
      <c r="I2" s="3" t="s">
        <v>716</v>
      </c>
      <c r="J2" s="3" t="s">
        <v>717</v>
      </c>
      <c r="K2" s="3" t="s">
        <v>718</v>
      </c>
      <c r="L2" s="3" t="s">
        <v>719</v>
      </c>
      <c r="M2" s="3" t="s">
        <v>277</v>
      </c>
    </row>
    <row r="3" customFormat="false" ht="36" hidden="false" customHeight="true" outlineLevel="0" collapsed="false">
      <c r="A3" s="4" t="s">
        <v>278</v>
      </c>
      <c r="B3" s="4" t="s">
        <v>279</v>
      </c>
      <c r="C3" s="4" t="s">
        <v>282</v>
      </c>
      <c r="D3" s="4" t="n">
        <v>2018</v>
      </c>
      <c r="E3" s="4" t="s">
        <v>720</v>
      </c>
      <c r="F3" s="4" t="s">
        <v>721</v>
      </c>
      <c r="G3" s="4" t="s">
        <v>722</v>
      </c>
      <c r="H3" s="4" t="s">
        <v>723</v>
      </c>
      <c r="I3" s="4" t="s">
        <v>724</v>
      </c>
      <c r="J3" s="4" t="s">
        <v>725</v>
      </c>
      <c r="K3" s="4" t="s">
        <v>718</v>
      </c>
      <c r="L3" s="4" t="s">
        <v>719</v>
      </c>
      <c r="M3" s="4" t="s">
        <v>288</v>
      </c>
    </row>
    <row r="4" customFormat="false" ht="36" hidden="false" customHeight="true" outlineLevel="0" collapsed="false">
      <c r="A4" s="3" t="s">
        <v>289</v>
      </c>
      <c r="B4" s="3" t="s">
        <v>290</v>
      </c>
      <c r="C4" s="3" t="s">
        <v>293</v>
      </c>
      <c r="D4" s="3" t="n">
        <v>2014</v>
      </c>
      <c r="E4" s="3" t="s">
        <v>726</v>
      </c>
      <c r="F4" s="3" t="s">
        <v>727</v>
      </c>
      <c r="G4" s="3" t="s">
        <v>728</v>
      </c>
      <c r="H4" s="3" t="s">
        <v>729</v>
      </c>
      <c r="I4" s="3" t="s">
        <v>730</v>
      </c>
      <c r="J4" s="3" t="s">
        <v>731</v>
      </c>
      <c r="K4" s="3" t="s">
        <v>732</v>
      </c>
      <c r="L4" s="3" t="s">
        <v>719</v>
      </c>
      <c r="M4" s="3" t="s">
        <v>299</v>
      </c>
    </row>
    <row r="5" customFormat="false" ht="36" hidden="false" customHeight="true" outlineLevel="0" collapsed="false">
      <c r="A5" s="4" t="s">
        <v>300</v>
      </c>
      <c r="B5" s="4" t="s">
        <v>301</v>
      </c>
      <c r="C5" s="4" t="s">
        <v>282</v>
      </c>
      <c r="D5" s="4" t="n">
        <v>2018</v>
      </c>
      <c r="E5" s="4" t="s">
        <v>733</v>
      </c>
      <c r="F5" s="4" t="s">
        <v>721</v>
      </c>
      <c r="G5" s="4" t="s">
        <v>734</v>
      </c>
      <c r="H5" s="4" t="s">
        <v>723</v>
      </c>
      <c r="I5" s="4" t="s">
        <v>724</v>
      </c>
      <c r="J5" s="4" t="s">
        <v>725</v>
      </c>
      <c r="K5" s="4" t="s">
        <v>718</v>
      </c>
      <c r="L5" s="4" t="s">
        <v>719</v>
      </c>
      <c r="M5" s="4" t="s">
        <v>307</v>
      </c>
    </row>
    <row r="6" customFormat="false" ht="36" hidden="false" customHeight="true" outlineLevel="0" collapsed="false">
      <c r="A6" s="3" t="s">
        <v>308</v>
      </c>
      <c r="B6" s="3" t="s">
        <v>309</v>
      </c>
      <c r="C6" s="3" t="s">
        <v>312</v>
      </c>
      <c r="D6" s="3" t="n">
        <v>2025</v>
      </c>
      <c r="E6" s="3" t="s">
        <v>735</v>
      </c>
      <c r="F6" s="3" t="s">
        <v>736</v>
      </c>
      <c r="G6" s="3" t="s">
        <v>737</v>
      </c>
      <c r="H6" s="3" t="s">
        <v>738</v>
      </c>
      <c r="I6" s="3" t="s">
        <v>739</v>
      </c>
      <c r="J6" s="3" t="s">
        <v>740</v>
      </c>
      <c r="K6" s="3" t="s">
        <v>741</v>
      </c>
      <c r="L6" s="3" t="s">
        <v>742</v>
      </c>
      <c r="M6" s="3" t="s">
        <v>743</v>
      </c>
    </row>
    <row r="7" customFormat="false" ht="36" hidden="false" customHeight="true" outlineLevel="0" collapsed="false">
      <c r="A7" s="4" t="s">
        <v>321</v>
      </c>
      <c r="B7" s="4" t="s">
        <v>322</v>
      </c>
      <c r="C7" s="4" t="s">
        <v>325</v>
      </c>
      <c r="D7" s="4" t="n">
        <v>2019</v>
      </c>
      <c r="E7" s="4" t="s">
        <v>744</v>
      </c>
      <c r="F7" s="4" t="s">
        <v>745</v>
      </c>
      <c r="G7" s="4" t="s">
        <v>746</v>
      </c>
      <c r="H7" s="4" t="s">
        <v>747</v>
      </c>
      <c r="I7" s="4" t="s">
        <v>748</v>
      </c>
      <c r="J7" s="4" t="s">
        <v>749</v>
      </c>
      <c r="K7" s="4" t="s">
        <v>718</v>
      </c>
      <c r="L7" s="4" t="s">
        <v>719</v>
      </c>
      <c r="M7" s="4" t="s">
        <v>329</v>
      </c>
    </row>
    <row r="8" customFormat="false" ht="36" hidden="false" customHeight="true" outlineLevel="0" collapsed="false">
      <c r="A8" s="3" t="s">
        <v>330</v>
      </c>
      <c r="B8" s="3" t="s">
        <v>331</v>
      </c>
      <c r="C8" s="3" t="s">
        <v>333</v>
      </c>
      <c r="D8" s="3" t="n">
        <v>2017</v>
      </c>
      <c r="E8" s="3" t="s">
        <v>750</v>
      </c>
      <c r="F8" s="3" t="s">
        <v>751</v>
      </c>
      <c r="G8" s="3" t="s">
        <v>752</v>
      </c>
      <c r="H8" s="3" t="s">
        <v>723</v>
      </c>
      <c r="I8" s="3" t="s">
        <v>753</v>
      </c>
      <c r="J8" s="3" t="s">
        <v>725</v>
      </c>
      <c r="K8" s="3" t="s">
        <v>718</v>
      </c>
      <c r="L8" s="3" t="s">
        <v>719</v>
      </c>
      <c r="M8" s="3" t="s">
        <v>337</v>
      </c>
    </row>
    <row r="9" customFormat="false" ht="36" hidden="false" customHeight="true" outlineLevel="0" collapsed="false">
      <c r="A9" s="4" t="s">
        <v>338</v>
      </c>
      <c r="B9" s="4" t="s">
        <v>339</v>
      </c>
      <c r="C9" s="4" t="s">
        <v>282</v>
      </c>
      <c r="D9" s="4" t="n">
        <v>2018</v>
      </c>
      <c r="E9" s="4" t="s">
        <v>733</v>
      </c>
      <c r="F9" s="4" t="s">
        <v>721</v>
      </c>
      <c r="G9" s="4" t="s">
        <v>754</v>
      </c>
      <c r="H9" s="4" t="s">
        <v>723</v>
      </c>
      <c r="I9" s="4" t="s">
        <v>753</v>
      </c>
      <c r="J9" s="4" t="s">
        <v>725</v>
      </c>
      <c r="K9" s="4" t="s">
        <v>718</v>
      </c>
      <c r="L9" s="4" t="s">
        <v>719</v>
      </c>
      <c r="M9" s="4" t="s">
        <v>344</v>
      </c>
    </row>
    <row r="10" customFormat="false" ht="36" hidden="false" customHeight="true" outlineLevel="0" collapsed="false">
      <c r="A10" s="3" t="s">
        <v>345</v>
      </c>
      <c r="B10" s="3" t="s">
        <v>346</v>
      </c>
      <c r="C10" s="3" t="s">
        <v>348</v>
      </c>
      <c r="D10" s="3" t="n">
        <v>2013</v>
      </c>
      <c r="E10" s="3" t="s">
        <v>755</v>
      </c>
      <c r="F10" s="3" t="s">
        <v>756</v>
      </c>
      <c r="G10" s="3" t="s">
        <v>757</v>
      </c>
      <c r="H10" s="3" t="s">
        <v>723</v>
      </c>
      <c r="I10" s="3" t="s">
        <v>753</v>
      </c>
      <c r="J10" s="3" t="s">
        <v>725</v>
      </c>
      <c r="K10" s="3" t="s">
        <v>718</v>
      </c>
      <c r="L10" s="3" t="s">
        <v>719</v>
      </c>
      <c r="M10" s="3" t="s">
        <v>352</v>
      </c>
    </row>
    <row r="11" customFormat="false" ht="36" hidden="false" customHeight="true" outlineLevel="0" collapsed="false">
      <c r="A11" s="4" t="s">
        <v>353</v>
      </c>
      <c r="B11" s="4" t="s">
        <v>354</v>
      </c>
      <c r="C11" s="4" t="s">
        <v>357</v>
      </c>
      <c r="D11" s="4" t="n">
        <v>2017</v>
      </c>
      <c r="E11" s="4" t="s">
        <v>750</v>
      </c>
      <c r="F11" s="4" t="s">
        <v>751</v>
      </c>
      <c r="G11" s="4" t="s">
        <v>758</v>
      </c>
      <c r="H11" s="4" t="s">
        <v>723</v>
      </c>
      <c r="I11" s="4" t="s">
        <v>753</v>
      </c>
      <c r="J11" s="4" t="s">
        <v>759</v>
      </c>
      <c r="K11" s="4" t="s">
        <v>760</v>
      </c>
      <c r="L11" s="4" t="s">
        <v>761</v>
      </c>
      <c r="M11" s="4" t="s">
        <v>364</v>
      </c>
    </row>
    <row r="12" customFormat="false" ht="36" hidden="false" customHeight="true" outlineLevel="0" collapsed="false">
      <c r="A12" s="3" t="s">
        <v>365</v>
      </c>
      <c r="B12" s="3" t="s">
        <v>366</v>
      </c>
      <c r="C12" s="3" t="s">
        <v>325</v>
      </c>
      <c r="D12" s="3" t="n">
        <v>2019</v>
      </c>
      <c r="E12" s="3" t="s">
        <v>762</v>
      </c>
      <c r="F12" s="3" t="s">
        <v>763</v>
      </c>
      <c r="G12" s="3" t="s">
        <v>764</v>
      </c>
      <c r="H12" s="3" t="s">
        <v>723</v>
      </c>
      <c r="I12" s="3" t="s">
        <v>753</v>
      </c>
      <c r="J12" s="3" t="s">
        <v>725</v>
      </c>
      <c r="K12" s="3" t="s">
        <v>718</v>
      </c>
      <c r="L12" s="3" t="s">
        <v>719</v>
      </c>
      <c r="M12" s="3" t="s">
        <v>372</v>
      </c>
    </row>
    <row r="13" customFormat="false" ht="36" hidden="false" customHeight="true" outlineLevel="0" collapsed="false">
      <c r="A13" s="4" t="s">
        <v>373</v>
      </c>
      <c r="B13" s="4" t="s">
        <v>374</v>
      </c>
      <c r="C13" s="4" t="s">
        <v>595</v>
      </c>
      <c r="D13" s="4" t="n">
        <v>2026</v>
      </c>
      <c r="E13" s="4" t="s">
        <v>765</v>
      </c>
      <c r="F13" s="4" t="s">
        <v>766</v>
      </c>
      <c r="G13" s="4" t="s">
        <v>767</v>
      </c>
      <c r="H13" s="4" t="s">
        <v>768</v>
      </c>
      <c r="I13" s="4" t="s">
        <v>769</v>
      </c>
      <c r="J13" s="4" t="s">
        <v>770</v>
      </c>
      <c r="K13" s="4" t="s">
        <v>771</v>
      </c>
      <c r="L13" s="4" t="s">
        <v>719</v>
      </c>
      <c r="M13" s="4" t="s">
        <v>772</v>
      </c>
    </row>
    <row r="14" customFormat="false" ht="36" hidden="false" customHeight="true" outlineLevel="0" collapsed="false">
      <c r="A14" s="3" t="s">
        <v>382</v>
      </c>
      <c r="B14" s="3" t="s">
        <v>383</v>
      </c>
      <c r="C14" s="3" t="s">
        <v>333</v>
      </c>
      <c r="D14" s="3" t="n">
        <v>2017</v>
      </c>
      <c r="E14" s="3" t="s">
        <v>750</v>
      </c>
      <c r="F14" s="3" t="s">
        <v>751</v>
      </c>
      <c r="G14" s="3" t="s">
        <v>773</v>
      </c>
      <c r="H14" s="3" t="s">
        <v>723</v>
      </c>
      <c r="I14" s="3" t="s">
        <v>753</v>
      </c>
      <c r="J14" s="3" t="s">
        <v>725</v>
      </c>
      <c r="K14" s="3" t="s">
        <v>718</v>
      </c>
      <c r="L14" s="3" t="s">
        <v>719</v>
      </c>
      <c r="M14" s="3" t="s">
        <v>387</v>
      </c>
    </row>
    <row r="15" customFormat="false" ht="36" hidden="false" customHeight="true" outlineLevel="0" collapsed="false">
      <c r="A15" s="4" t="s">
        <v>388</v>
      </c>
      <c r="B15" s="4" t="s">
        <v>389</v>
      </c>
      <c r="C15" s="4" t="s">
        <v>392</v>
      </c>
      <c r="D15" s="4" t="n">
        <v>2016</v>
      </c>
      <c r="E15" s="4" t="s">
        <v>747</v>
      </c>
      <c r="F15" s="4" t="s">
        <v>774</v>
      </c>
      <c r="G15" s="4" t="s">
        <v>775</v>
      </c>
      <c r="H15" s="4" t="s">
        <v>723</v>
      </c>
      <c r="I15" s="4" t="s">
        <v>776</v>
      </c>
      <c r="J15" s="4" t="s">
        <v>725</v>
      </c>
      <c r="K15" s="4" t="s">
        <v>718</v>
      </c>
      <c r="L15" s="4" t="s">
        <v>719</v>
      </c>
      <c r="M15" s="4" t="s">
        <v>396</v>
      </c>
    </row>
    <row r="16" customFormat="false" ht="36" hidden="false" customHeight="true" outlineLevel="0" collapsed="false">
      <c r="A16" s="3" t="s">
        <v>397</v>
      </c>
      <c r="B16" s="3" t="s">
        <v>398</v>
      </c>
      <c r="C16" s="3" t="s">
        <v>333</v>
      </c>
      <c r="D16" s="3" t="n">
        <v>2017</v>
      </c>
      <c r="E16" s="3" t="s">
        <v>750</v>
      </c>
      <c r="F16" s="3" t="s">
        <v>751</v>
      </c>
      <c r="G16" s="3" t="s">
        <v>777</v>
      </c>
      <c r="H16" s="3" t="s">
        <v>723</v>
      </c>
      <c r="I16" s="3" t="s">
        <v>753</v>
      </c>
      <c r="J16" s="3" t="s">
        <v>725</v>
      </c>
      <c r="K16" s="3" t="s">
        <v>718</v>
      </c>
      <c r="L16" s="3" t="s">
        <v>719</v>
      </c>
      <c r="M16" s="3" t="s">
        <v>402</v>
      </c>
    </row>
    <row r="17" customFormat="false" ht="36" hidden="false" customHeight="true" outlineLevel="0" collapsed="false">
      <c r="A17" s="4" t="s">
        <v>403</v>
      </c>
      <c r="B17" s="4" t="s">
        <v>404</v>
      </c>
      <c r="C17" s="4" t="s">
        <v>282</v>
      </c>
      <c r="D17" s="4" t="n">
        <v>2018</v>
      </c>
      <c r="E17" s="4" t="s">
        <v>733</v>
      </c>
      <c r="F17" s="4" t="s">
        <v>721</v>
      </c>
      <c r="G17" s="4" t="s">
        <v>778</v>
      </c>
      <c r="H17" s="4" t="s">
        <v>723</v>
      </c>
      <c r="I17" s="4" t="s">
        <v>753</v>
      </c>
      <c r="J17" s="4" t="s">
        <v>725</v>
      </c>
      <c r="K17" s="4" t="s">
        <v>718</v>
      </c>
      <c r="L17" s="4" t="s">
        <v>719</v>
      </c>
      <c r="M17" s="4" t="s">
        <v>408</v>
      </c>
    </row>
    <row r="18" customFormat="false" ht="36" hidden="false" customHeight="true" outlineLevel="0" collapsed="false">
      <c r="A18" s="3" t="s">
        <v>409</v>
      </c>
      <c r="B18" s="3" t="s">
        <v>410</v>
      </c>
      <c r="C18" s="3" t="s">
        <v>333</v>
      </c>
      <c r="D18" s="3" t="n">
        <v>2017</v>
      </c>
      <c r="E18" s="3" t="s">
        <v>750</v>
      </c>
      <c r="F18" s="3" t="s">
        <v>751</v>
      </c>
      <c r="G18" s="3" t="s">
        <v>779</v>
      </c>
      <c r="H18" s="3" t="s">
        <v>723</v>
      </c>
      <c r="I18" s="3" t="s">
        <v>753</v>
      </c>
      <c r="J18" s="3" t="s">
        <v>725</v>
      </c>
      <c r="K18" s="3" t="s">
        <v>718</v>
      </c>
      <c r="L18" s="3" t="s">
        <v>719</v>
      </c>
      <c r="M18" s="3" t="s">
        <v>413</v>
      </c>
    </row>
    <row r="19" customFormat="false" ht="36" hidden="false" customHeight="true" outlineLevel="0" collapsed="false">
      <c r="A19" s="4" t="s">
        <v>414</v>
      </c>
      <c r="B19" s="4" t="s">
        <v>415</v>
      </c>
      <c r="C19" s="4" t="s">
        <v>325</v>
      </c>
      <c r="D19" s="4" t="n">
        <v>2019</v>
      </c>
      <c r="E19" s="4" t="s">
        <v>762</v>
      </c>
      <c r="F19" s="4" t="s">
        <v>763</v>
      </c>
      <c r="G19" s="4" t="s">
        <v>780</v>
      </c>
      <c r="H19" s="4" t="s">
        <v>723</v>
      </c>
      <c r="I19" s="4" t="s">
        <v>753</v>
      </c>
      <c r="J19" s="4" t="s">
        <v>725</v>
      </c>
      <c r="K19" s="4" t="s">
        <v>718</v>
      </c>
      <c r="L19" s="4" t="s">
        <v>719</v>
      </c>
      <c r="M19" s="4" t="s">
        <v>419</v>
      </c>
    </row>
    <row r="20" customFormat="false" ht="36" hidden="false" customHeight="true" outlineLevel="0" collapsed="false">
      <c r="A20" s="3" t="s">
        <v>420</v>
      </c>
      <c r="B20" s="3" t="s">
        <v>421</v>
      </c>
      <c r="C20" s="3" t="s">
        <v>424</v>
      </c>
      <c r="D20" s="3" t="n">
        <v>2014</v>
      </c>
      <c r="E20" s="3" t="s">
        <v>781</v>
      </c>
      <c r="F20" s="3" t="s">
        <v>727</v>
      </c>
      <c r="G20" s="3" t="s">
        <v>782</v>
      </c>
      <c r="H20" s="3" t="s">
        <v>723</v>
      </c>
      <c r="I20" s="3" t="s">
        <v>730</v>
      </c>
      <c r="J20" s="3" t="s">
        <v>725</v>
      </c>
      <c r="K20" s="3" t="s">
        <v>718</v>
      </c>
      <c r="L20" s="3" t="s">
        <v>719</v>
      </c>
      <c r="M20" s="3" t="s">
        <v>427</v>
      </c>
    </row>
    <row r="21" customFormat="false" ht="36" hidden="false" customHeight="true" outlineLevel="0" collapsed="false">
      <c r="A21" s="4" t="s">
        <v>428</v>
      </c>
      <c r="B21" s="4" t="s">
        <v>429</v>
      </c>
      <c r="C21" s="4" t="s">
        <v>325</v>
      </c>
      <c r="D21" s="4" t="n">
        <v>2019</v>
      </c>
      <c r="E21" s="4" t="s">
        <v>762</v>
      </c>
      <c r="F21" s="4" t="s">
        <v>763</v>
      </c>
      <c r="G21" s="4" t="s">
        <v>783</v>
      </c>
      <c r="H21" s="4" t="s">
        <v>723</v>
      </c>
      <c r="I21" s="4" t="s">
        <v>753</v>
      </c>
      <c r="J21" s="4" t="s">
        <v>725</v>
      </c>
      <c r="K21" s="4" t="s">
        <v>718</v>
      </c>
      <c r="L21" s="4" t="s">
        <v>719</v>
      </c>
      <c r="M21" s="4" t="s">
        <v>434</v>
      </c>
    </row>
    <row r="22" customFormat="false" ht="36" hidden="false" customHeight="true" outlineLevel="0" collapsed="false">
      <c r="A22" s="3" t="s">
        <v>435</v>
      </c>
      <c r="B22" s="3" t="s">
        <v>436</v>
      </c>
      <c r="C22" s="3" t="s">
        <v>392</v>
      </c>
      <c r="D22" s="3" t="n">
        <v>2016</v>
      </c>
      <c r="E22" s="3" t="s">
        <v>747</v>
      </c>
      <c r="F22" s="3" t="s">
        <v>784</v>
      </c>
      <c r="G22" s="3" t="s">
        <v>785</v>
      </c>
      <c r="H22" s="3" t="s">
        <v>723</v>
      </c>
      <c r="I22" s="3" t="s">
        <v>786</v>
      </c>
      <c r="J22" s="3" t="s">
        <v>725</v>
      </c>
      <c r="K22" s="3" t="s">
        <v>718</v>
      </c>
      <c r="L22" s="3" t="s">
        <v>719</v>
      </c>
      <c r="M22" s="3" t="s">
        <v>440</v>
      </c>
    </row>
    <row r="23" customFormat="false" ht="36" hidden="false" customHeight="true" outlineLevel="0" collapsed="false">
      <c r="A23" s="4" t="s">
        <v>441</v>
      </c>
      <c r="B23" s="4" t="s">
        <v>442</v>
      </c>
      <c r="C23" s="4" t="s">
        <v>282</v>
      </c>
      <c r="D23" s="4" t="n">
        <v>2018</v>
      </c>
      <c r="E23" s="4" t="s">
        <v>733</v>
      </c>
      <c r="F23" s="4" t="s">
        <v>721</v>
      </c>
      <c r="G23" s="4" t="s">
        <v>787</v>
      </c>
      <c r="H23" s="4" t="s">
        <v>723</v>
      </c>
      <c r="I23" s="4" t="s">
        <v>753</v>
      </c>
      <c r="J23" s="4" t="s">
        <v>725</v>
      </c>
      <c r="K23" s="4" t="s">
        <v>718</v>
      </c>
      <c r="L23" s="4" t="s">
        <v>719</v>
      </c>
      <c r="M23" s="4" t="s">
        <v>446</v>
      </c>
    </row>
    <row r="24" customFormat="false" ht="36" hidden="false" customHeight="true" outlineLevel="0" collapsed="false">
      <c r="A24" s="3" t="s">
        <v>447</v>
      </c>
      <c r="B24" s="3" t="s">
        <v>448</v>
      </c>
      <c r="C24" s="3" t="s">
        <v>450</v>
      </c>
      <c r="D24" s="3" t="n">
        <v>2019</v>
      </c>
      <c r="E24" s="3" t="s">
        <v>788</v>
      </c>
      <c r="F24" s="3" t="s">
        <v>789</v>
      </c>
      <c r="G24" s="3" t="s">
        <v>790</v>
      </c>
      <c r="H24" s="3" t="s">
        <v>723</v>
      </c>
      <c r="I24" s="3" t="s">
        <v>791</v>
      </c>
      <c r="J24" s="3" t="s">
        <v>725</v>
      </c>
      <c r="K24" s="3" t="s">
        <v>792</v>
      </c>
      <c r="L24" s="3" t="s">
        <v>719</v>
      </c>
      <c r="M24" s="3" t="s">
        <v>453</v>
      </c>
    </row>
    <row r="25" customFormat="false" ht="36" hidden="false" customHeight="true" outlineLevel="0" collapsed="false">
      <c r="A25" s="4" t="s">
        <v>454</v>
      </c>
      <c r="B25" s="4" t="s">
        <v>455</v>
      </c>
      <c r="C25" s="4" t="s">
        <v>458</v>
      </c>
      <c r="D25" s="4" t="n">
        <v>2018</v>
      </c>
      <c r="E25" s="4" t="s">
        <v>793</v>
      </c>
      <c r="F25" s="4" t="s">
        <v>721</v>
      </c>
      <c r="G25" s="4" t="s">
        <v>794</v>
      </c>
      <c r="H25" s="4" t="s">
        <v>723</v>
      </c>
      <c r="I25" s="4" t="s">
        <v>753</v>
      </c>
      <c r="J25" s="4" t="s">
        <v>725</v>
      </c>
      <c r="K25" s="4" t="s">
        <v>792</v>
      </c>
      <c r="L25" s="4" t="s">
        <v>719</v>
      </c>
      <c r="M25" s="4" t="s">
        <v>795</v>
      </c>
    </row>
    <row r="26" customFormat="false" ht="36" hidden="false" customHeight="true" outlineLevel="0" collapsed="false">
      <c r="A26" s="3" t="s">
        <v>462</v>
      </c>
      <c r="B26" s="3" t="s">
        <v>463</v>
      </c>
      <c r="C26" s="3" t="s">
        <v>466</v>
      </c>
      <c r="D26" s="3" t="n">
        <v>2018</v>
      </c>
      <c r="E26" s="3" t="s">
        <v>733</v>
      </c>
      <c r="F26" s="3" t="s">
        <v>721</v>
      </c>
      <c r="G26" s="3" t="s">
        <v>467</v>
      </c>
      <c r="H26" s="3" t="s">
        <v>723</v>
      </c>
      <c r="I26" s="3" t="s">
        <v>753</v>
      </c>
      <c r="J26" s="3" t="s">
        <v>725</v>
      </c>
      <c r="K26" s="3" t="s">
        <v>718</v>
      </c>
      <c r="L26" s="3" t="s">
        <v>719</v>
      </c>
      <c r="M26" s="3" t="s">
        <v>468</v>
      </c>
    </row>
    <row r="27" customFormat="false" ht="36" hidden="false" customHeight="true" outlineLevel="0" collapsed="false">
      <c r="A27" s="4" t="s">
        <v>469</v>
      </c>
      <c r="B27" s="4" t="s">
        <v>470</v>
      </c>
      <c r="C27" s="4" t="s">
        <v>282</v>
      </c>
      <c r="D27" s="4" t="n">
        <v>2018</v>
      </c>
      <c r="E27" s="4" t="s">
        <v>733</v>
      </c>
      <c r="F27" s="4" t="s">
        <v>721</v>
      </c>
      <c r="G27" s="4" t="s">
        <v>472</v>
      </c>
      <c r="H27" s="4" t="s">
        <v>723</v>
      </c>
      <c r="I27" s="4" t="s">
        <v>753</v>
      </c>
      <c r="J27" s="4" t="s">
        <v>725</v>
      </c>
      <c r="K27" s="4" t="s">
        <v>718</v>
      </c>
      <c r="L27" s="4" t="s">
        <v>719</v>
      </c>
      <c r="M27" s="4" t="s">
        <v>473</v>
      </c>
    </row>
    <row r="28" customFormat="false" ht="36" hidden="false" customHeight="true" outlineLevel="0" collapsed="false">
      <c r="A28" s="3" t="s">
        <v>474</v>
      </c>
      <c r="B28" s="3" t="s">
        <v>475</v>
      </c>
      <c r="C28" s="3" t="s">
        <v>478</v>
      </c>
      <c r="D28" s="3" t="n">
        <v>2015</v>
      </c>
      <c r="E28" s="3" t="s">
        <v>796</v>
      </c>
      <c r="F28" s="3" t="s">
        <v>797</v>
      </c>
      <c r="G28" s="3" t="s">
        <v>798</v>
      </c>
      <c r="H28" s="3" t="s">
        <v>723</v>
      </c>
      <c r="I28" s="3" t="s">
        <v>799</v>
      </c>
      <c r="J28" s="3" t="s">
        <v>725</v>
      </c>
      <c r="K28" s="3" t="s">
        <v>718</v>
      </c>
      <c r="L28" s="3" t="s">
        <v>719</v>
      </c>
      <c r="M28" s="3" t="s">
        <v>800</v>
      </c>
    </row>
    <row r="29" customFormat="false" ht="36" hidden="false" customHeight="true" outlineLevel="0" collapsed="false">
      <c r="A29" s="4" t="s">
        <v>483</v>
      </c>
      <c r="B29" s="4" t="s">
        <v>484</v>
      </c>
      <c r="C29" s="4" t="s">
        <v>333</v>
      </c>
      <c r="D29" s="4" t="n">
        <v>2017</v>
      </c>
      <c r="E29" s="4" t="s">
        <v>750</v>
      </c>
      <c r="F29" s="4" t="s">
        <v>751</v>
      </c>
      <c r="G29" s="4" t="s">
        <v>801</v>
      </c>
      <c r="H29" s="4" t="s">
        <v>723</v>
      </c>
      <c r="I29" s="4" t="s">
        <v>753</v>
      </c>
      <c r="J29" s="4" t="s">
        <v>725</v>
      </c>
      <c r="K29" s="4" t="s">
        <v>718</v>
      </c>
      <c r="L29" s="4" t="s">
        <v>719</v>
      </c>
      <c r="M29" s="4" t="s">
        <v>487</v>
      </c>
    </row>
    <row r="30" customFormat="false" ht="36" hidden="false" customHeight="true" outlineLevel="0" collapsed="false">
      <c r="A30" s="3" t="s">
        <v>488</v>
      </c>
      <c r="B30" s="3" t="s">
        <v>489</v>
      </c>
      <c r="C30" s="3" t="s">
        <v>491</v>
      </c>
      <c r="D30" s="3" t="n">
        <v>2021</v>
      </c>
      <c r="E30" s="3" t="s">
        <v>802</v>
      </c>
      <c r="F30" s="3" t="s">
        <v>803</v>
      </c>
      <c r="G30" s="3" t="s">
        <v>804</v>
      </c>
      <c r="H30" s="3" t="s">
        <v>781</v>
      </c>
      <c r="I30" s="3" t="s">
        <v>805</v>
      </c>
      <c r="J30" s="3" t="s">
        <v>725</v>
      </c>
      <c r="K30" s="3" t="s">
        <v>718</v>
      </c>
      <c r="L30" s="3" t="s">
        <v>719</v>
      </c>
      <c r="M30" s="3" t="s">
        <v>806</v>
      </c>
    </row>
    <row r="31" customFormat="false" ht="36" hidden="false" customHeight="true" outlineLevel="0" collapsed="false">
      <c r="A31" s="4" t="s">
        <v>497</v>
      </c>
      <c r="B31" s="4" t="s">
        <v>498</v>
      </c>
      <c r="C31" s="4" t="s">
        <v>333</v>
      </c>
      <c r="D31" s="4" t="n">
        <v>2017</v>
      </c>
      <c r="E31" s="4" t="s">
        <v>750</v>
      </c>
      <c r="F31" s="4" t="s">
        <v>751</v>
      </c>
      <c r="G31" s="4" t="s">
        <v>807</v>
      </c>
      <c r="H31" s="4" t="s">
        <v>723</v>
      </c>
      <c r="I31" s="4" t="s">
        <v>753</v>
      </c>
      <c r="J31" s="4" t="s">
        <v>725</v>
      </c>
      <c r="K31" s="4" t="s">
        <v>718</v>
      </c>
      <c r="L31" s="4" t="s">
        <v>719</v>
      </c>
      <c r="M31" s="4" t="s">
        <v>808</v>
      </c>
    </row>
    <row r="32" customFormat="false" ht="36" hidden="false" customHeight="true" outlineLevel="0" collapsed="false">
      <c r="A32" s="3" t="s">
        <v>503</v>
      </c>
      <c r="B32" s="3" t="s">
        <v>504</v>
      </c>
      <c r="C32" s="3" t="s">
        <v>266</v>
      </c>
      <c r="D32" s="3" t="n">
        <v>2020</v>
      </c>
      <c r="E32" s="3" t="s">
        <v>809</v>
      </c>
      <c r="F32" s="3" t="s">
        <v>810</v>
      </c>
      <c r="G32" s="3" t="s">
        <v>811</v>
      </c>
      <c r="H32" s="3" t="s">
        <v>723</v>
      </c>
      <c r="I32" s="3" t="s">
        <v>791</v>
      </c>
      <c r="J32" s="3" t="s">
        <v>725</v>
      </c>
      <c r="K32" s="3" t="s">
        <v>718</v>
      </c>
      <c r="L32" s="3" t="s">
        <v>719</v>
      </c>
      <c r="M32" s="3" t="s">
        <v>812</v>
      </c>
    </row>
    <row r="33" customFormat="false" ht="36" hidden="false" customHeight="true" outlineLevel="0" collapsed="false">
      <c r="A33" s="4" t="s">
        <v>511</v>
      </c>
      <c r="B33" s="4" t="s">
        <v>512</v>
      </c>
      <c r="C33" s="4" t="s">
        <v>392</v>
      </c>
      <c r="D33" s="4" t="n">
        <v>2016</v>
      </c>
      <c r="E33" s="4" t="s">
        <v>747</v>
      </c>
      <c r="F33" s="4" t="s">
        <v>784</v>
      </c>
      <c r="G33" s="4" t="s">
        <v>813</v>
      </c>
      <c r="H33" s="4" t="s">
        <v>723</v>
      </c>
      <c r="I33" s="4" t="s">
        <v>786</v>
      </c>
      <c r="J33" s="4" t="s">
        <v>725</v>
      </c>
      <c r="K33" s="4" t="s">
        <v>718</v>
      </c>
      <c r="L33" s="4" t="s">
        <v>719</v>
      </c>
      <c r="M33" s="4" t="s">
        <v>515</v>
      </c>
    </row>
    <row r="34" customFormat="false" ht="36" hidden="false" customHeight="true" outlineLevel="0" collapsed="false">
      <c r="A34" s="3" t="s">
        <v>516</v>
      </c>
      <c r="B34" s="3" t="s">
        <v>517</v>
      </c>
      <c r="C34" s="3" t="s">
        <v>519</v>
      </c>
      <c r="D34" s="3" t="n">
        <v>2022</v>
      </c>
      <c r="E34" s="3" t="s">
        <v>333</v>
      </c>
      <c r="F34" s="3" t="s">
        <v>814</v>
      </c>
      <c r="G34" s="3" t="s">
        <v>815</v>
      </c>
      <c r="H34" s="3" t="s">
        <v>750</v>
      </c>
      <c r="I34" s="3" t="s">
        <v>816</v>
      </c>
      <c r="J34" s="3" t="s">
        <v>817</v>
      </c>
      <c r="K34" s="3" t="s">
        <v>818</v>
      </c>
      <c r="L34" s="3" t="s">
        <v>719</v>
      </c>
      <c r="M34" s="3" t="s">
        <v>527</v>
      </c>
    </row>
    <row r="35" customFormat="false" ht="36" hidden="false" customHeight="true" outlineLevel="0" collapsed="false">
      <c r="A35" s="4" t="s">
        <v>528</v>
      </c>
      <c r="B35" s="4" t="s">
        <v>529</v>
      </c>
      <c r="C35" s="4" t="s">
        <v>282</v>
      </c>
      <c r="D35" s="4" t="n">
        <v>2018</v>
      </c>
      <c r="E35" s="4" t="s">
        <v>733</v>
      </c>
      <c r="F35" s="4" t="s">
        <v>721</v>
      </c>
      <c r="G35" s="4" t="s">
        <v>819</v>
      </c>
      <c r="H35" s="4" t="s">
        <v>723</v>
      </c>
      <c r="I35" s="4" t="s">
        <v>753</v>
      </c>
      <c r="J35" s="4" t="s">
        <v>725</v>
      </c>
      <c r="K35" s="4" t="s">
        <v>718</v>
      </c>
      <c r="L35" s="4" t="s">
        <v>719</v>
      </c>
      <c r="M35" s="4" t="s">
        <v>534</v>
      </c>
    </row>
    <row r="36" customFormat="false" ht="36" hidden="false" customHeight="true" outlineLevel="0" collapsed="false">
      <c r="A36" s="3" t="s">
        <v>535</v>
      </c>
      <c r="B36" s="3" t="s">
        <v>536</v>
      </c>
      <c r="C36" s="3" t="s">
        <v>538</v>
      </c>
      <c r="D36" s="3" t="n">
        <v>2014</v>
      </c>
      <c r="E36" s="3" t="s">
        <v>781</v>
      </c>
      <c r="F36" s="3" t="s">
        <v>820</v>
      </c>
      <c r="G36" s="3" t="s">
        <v>821</v>
      </c>
      <c r="H36" s="3" t="s">
        <v>723</v>
      </c>
      <c r="I36" s="3" t="s">
        <v>799</v>
      </c>
      <c r="J36" s="3" t="s">
        <v>725</v>
      </c>
      <c r="K36" s="3" t="s">
        <v>718</v>
      </c>
      <c r="L36" s="3" t="s">
        <v>719</v>
      </c>
      <c r="M36" s="3" t="s">
        <v>540</v>
      </c>
    </row>
    <row r="37" customFormat="false" ht="36" hidden="false" customHeight="true" outlineLevel="0" collapsed="false">
      <c r="A37" s="4" t="s">
        <v>541</v>
      </c>
      <c r="B37" s="4" t="s">
        <v>542</v>
      </c>
      <c r="C37" s="4" t="s">
        <v>282</v>
      </c>
      <c r="D37" s="4" t="n">
        <v>2018</v>
      </c>
      <c r="E37" s="4" t="s">
        <v>733</v>
      </c>
      <c r="F37" s="4" t="s">
        <v>721</v>
      </c>
      <c r="G37" s="4" t="s">
        <v>822</v>
      </c>
      <c r="H37" s="4" t="s">
        <v>723</v>
      </c>
      <c r="I37" s="4" t="s">
        <v>753</v>
      </c>
      <c r="J37" s="4" t="s">
        <v>725</v>
      </c>
      <c r="K37" s="4" t="s">
        <v>718</v>
      </c>
      <c r="L37" s="4" t="s">
        <v>719</v>
      </c>
      <c r="M37" s="4" t="s">
        <v>549</v>
      </c>
    </row>
    <row r="38" customFormat="false" ht="36" hidden="false" customHeight="true" outlineLevel="0" collapsed="false">
      <c r="A38" s="3" t="s">
        <v>550</v>
      </c>
      <c r="B38" s="3" t="s">
        <v>551</v>
      </c>
      <c r="C38" s="3" t="s">
        <v>282</v>
      </c>
      <c r="D38" s="3" t="n">
        <v>2018</v>
      </c>
      <c r="E38" s="3" t="s">
        <v>733</v>
      </c>
      <c r="F38" s="3" t="s">
        <v>721</v>
      </c>
      <c r="G38" s="3" t="s">
        <v>823</v>
      </c>
      <c r="H38" s="3" t="s">
        <v>723</v>
      </c>
      <c r="I38" s="3" t="s">
        <v>753</v>
      </c>
      <c r="J38" s="3" t="s">
        <v>725</v>
      </c>
      <c r="K38" s="3" t="s">
        <v>718</v>
      </c>
      <c r="L38" s="3" t="s">
        <v>719</v>
      </c>
      <c r="M38" s="3" t="s">
        <v>554</v>
      </c>
    </row>
    <row r="39" customFormat="false" ht="36" hidden="false" customHeight="true" outlineLevel="0" collapsed="false">
      <c r="A39" s="4" t="s">
        <v>555</v>
      </c>
      <c r="B39" s="4" t="s">
        <v>556</v>
      </c>
      <c r="C39" s="4" t="s">
        <v>282</v>
      </c>
      <c r="D39" s="4" t="n">
        <v>2018</v>
      </c>
      <c r="E39" s="4" t="s">
        <v>733</v>
      </c>
      <c r="F39" s="4" t="s">
        <v>721</v>
      </c>
      <c r="G39" s="4" t="s">
        <v>824</v>
      </c>
      <c r="H39" s="4" t="s">
        <v>723</v>
      </c>
      <c r="I39" s="4" t="s">
        <v>753</v>
      </c>
      <c r="J39" s="4" t="s">
        <v>725</v>
      </c>
      <c r="K39" s="4" t="s">
        <v>718</v>
      </c>
      <c r="L39" s="4" t="s">
        <v>719</v>
      </c>
      <c r="M39" s="4" t="s">
        <v>559</v>
      </c>
    </row>
    <row r="40" customFormat="false" ht="36" hidden="false" customHeight="true" outlineLevel="0" collapsed="false">
      <c r="A40" s="3" t="s">
        <v>560</v>
      </c>
      <c r="B40" s="3" t="s">
        <v>561</v>
      </c>
      <c r="C40" s="3" t="s">
        <v>564</v>
      </c>
      <c r="D40" s="3" t="n">
        <v>2022</v>
      </c>
      <c r="E40" s="3" t="s">
        <v>825</v>
      </c>
      <c r="F40" s="3" t="s">
        <v>826</v>
      </c>
      <c r="G40" s="3" t="s">
        <v>827</v>
      </c>
      <c r="H40" s="3" t="s">
        <v>723</v>
      </c>
      <c r="I40" s="3" t="s">
        <v>791</v>
      </c>
      <c r="J40" s="3" t="s">
        <v>725</v>
      </c>
      <c r="K40" s="3" t="s">
        <v>828</v>
      </c>
      <c r="L40" s="3" t="s">
        <v>719</v>
      </c>
      <c r="M40" s="3" t="s">
        <v>829</v>
      </c>
    </row>
    <row r="41" customFormat="false" ht="36" hidden="false" customHeight="true" outlineLevel="0" collapsed="false">
      <c r="A41" s="4" t="s">
        <v>571</v>
      </c>
      <c r="B41" s="4" t="s">
        <v>572</v>
      </c>
      <c r="C41" s="4" t="s">
        <v>282</v>
      </c>
      <c r="D41" s="4" t="n">
        <v>2018</v>
      </c>
      <c r="E41" s="4" t="s">
        <v>733</v>
      </c>
      <c r="F41" s="4" t="s">
        <v>721</v>
      </c>
      <c r="G41" s="4" t="s">
        <v>830</v>
      </c>
      <c r="H41" s="4" t="s">
        <v>723</v>
      </c>
      <c r="I41" s="4" t="s">
        <v>753</v>
      </c>
      <c r="J41" s="4" t="s">
        <v>725</v>
      </c>
      <c r="K41" s="4" t="s">
        <v>718</v>
      </c>
      <c r="L41" s="4" t="s">
        <v>719</v>
      </c>
      <c r="M41" s="4" t="s">
        <v>575</v>
      </c>
    </row>
    <row r="42" customFormat="false" ht="36" hidden="false" customHeight="true" outlineLevel="0" collapsed="false">
      <c r="A42" s="3" t="s">
        <v>576</v>
      </c>
      <c r="B42" s="3" t="s">
        <v>577</v>
      </c>
      <c r="C42" s="3" t="s">
        <v>580</v>
      </c>
      <c r="D42" s="3" t="n">
        <v>2025</v>
      </c>
      <c r="E42" s="3" t="s">
        <v>831</v>
      </c>
      <c r="F42" s="3" t="s">
        <v>832</v>
      </c>
      <c r="G42" s="3" t="s">
        <v>833</v>
      </c>
      <c r="H42" s="3" t="s">
        <v>723</v>
      </c>
      <c r="I42" s="3" t="s">
        <v>791</v>
      </c>
      <c r="J42" s="3" t="s">
        <v>725</v>
      </c>
      <c r="K42" s="3" t="s">
        <v>834</v>
      </c>
      <c r="L42" s="3" t="s">
        <v>719</v>
      </c>
      <c r="M42" s="3" t="s">
        <v>835</v>
      </c>
    </row>
    <row r="43" customFormat="false" ht="36" hidden="false" customHeight="true" outlineLevel="0" collapsed="false">
      <c r="A43" s="4" t="s">
        <v>591</v>
      </c>
      <c r="B43" s="4" t="s">
        <v>592</v>
      </c>
      <c r="C43" s="4" t="s">
        <v>595</v>
      </c>
      <c r="D43" s="4" t="n">
        <v>2026</v>
      </c>
      <c r="E43" s="4" t="s">
        <v>836</v>
      </c>
      <c r="F43" s="4" t="s">
        <v>837</v>
      </c>
      <c r="G43" s="4" t="s">
        <v>838</v>
      </c>
      <c r="H43" s="4" t="s">
        <v>796</v>
      </c>
      <c r="I43" s="4" t="s">
        <v>839</v>
      </c>
      <c r="J43" s="4" t="s">
        <v>725</v>
      </c>
      <c r="K43" s="4" t="s">
        <v>718</v>
      </c>
      <c r="L43" s="4" t="s">
        <v>719</v>
      </c>
      <c r="M43" s="4" t="s">
        <v>840</v>
      </c>
    </row>
    <row r="44" customFormat="false" ht="36" hidden="false" customHeight="true" outlineLevel="0" collapsed="false">
      <c r="A44" s="3" t="s">
        <v>600</v>
      </c>
      <c r="B44" s="3" t="s">
        <v>601</v>
      </c>
      <c r="C44" s="3" t="s">
        <v>282</v>
      </c>
      <c r="D44" s="3" t="n">
        <v>2018</v>
      </c>
      <c r="E44" s="3" t="s">
        <v>733</v>
      </c>
      <c r="F44" s="3" t="s">
        <v>721</v>
      </c>
      <c r="G44" s="3" t="s">
        <v>841</v>
      </c>
      <c r="H44" s="3" t="s">
        <v>723</v>
      </c>
      <c r="I44" s="3" t="s">
        <v>753</v>
      </c>
      <c r="J44" s="3" t="s">
        <v>725</v>
      </c>
      <c r="K44" s="3" t="s">
        <v>718</v>
      </c>
      <c r="L44" s="3" t="s">
        <v>719</v>
      </c>
      <c r="M44" s="3" t="s">
        <v>605</v>
      </c>
    </row>
    <row r="45" customFormat="false" ht="36" hidden="false" customHeight="true" outlineLevel="0" collapsed="false">
      <c r="A45" s="4" t="s">
        <v>606</v>
      </c>
      <c r="B45" s="4" t="s">
        <v>607</v>
      </c>
      <c r="C45" s="4" t="s">
        <v>609</v>
      </c>
      <c r="D45" s="4" t="n">
        <v>2025</v>
      </c>
      <c r="E45" s="4" t="s">
        <v>842</v>
      </c>
      <c r="F45" s="4" t="s">
        <v>843</v>
      </c>
      <c r="G45" s="4" t="s">
        <v>844</v>
      </c>
      <c r="H45" s="4" t="s">
        <v>845</v>
      </c>
      <c r="I45" s="4" t="s">
        <v>846</v>
      </c>
      <c r="J45" s="4" t="s">
        <v>847</v>
      </c>
      <c r="K45" s="4" t="s">
        <v>848</v>
      </c>
      <c r="L45" s="4" t="s">
        <v>719</v>
      </c>
      <c r="M45" s="4" t="s">
        <v>849</v>
      </c>
    </row>
    <row r="46" customFormat="false" ht="36" hidden="false" customHeight="true" outlineLevel="0" collapsed="false">
      <c r="A46" s="3" t="s">
        <v>617</v>
      </c>
      <c r="B46" s="3" t="s">
        <v>618</v>
      </c>
      <c r="C46" s="3" t="s">
        <v>392</v>
      </c>
      <c r="D46" s="3" t="n">
        <v>2016</v>
      </c>
      <c r="E46" s="3" t="s">
        <v>747</v>
      </c>
      <c r="F46" s="3" t="s">
        <v>784</v>
      </c>
      <c r="G46" s="3" t="s">
        <v>850</v>
      </c>
      <c r="H46" s="3" t="s">
        <v>723</v>
      </c>
      <c r="I46" s="3" t="s">
        <v>786</v>
      </c>
      <c r="J46" s="3" t="s">
        <v>725</v>
      </c>
      <c r="K46" s="3" t="s">
        <v>718</v>
      </c>
      <c r="L46" s="3" t="s">
        <v>719</v>
      </c>
      <c r="M46" s="3" t="s">
        <v>851</v>
      </c>
    </row>
    <row r="47" customFormat="false" ht="36" hidden="false" customHeight="true" outlineLevel="0" collapsed="false">
      <c r="A47" s="4" t="s">
        <v>623</v>
      </c>
      <c r="B47" s="4" t="s">
        <v>624</v>
      </c>
      <c r="C47" s="4" t="s">
        <v>626</v>
      </c>
      <c r="D47" s="4" t="n">
        <v>2016</v>
      </c>
      <c r="E47" s="4" t="s">
        <v>852</v>
      </c>
      <c r="F47" s="4" t="s">
        <v>784</v>
      </c>
      <c r="G47" s="4" t="s">
        <v>853</v>
      </c>
      <c r="H47" s="4" t="s">
        <v>723</v>
      </c>
      <c r="I47" s="4" t="s">
        <v>786</v>
      </c>
      <c r="J47" s="4" t="s">
        <v>725</v>
      </c>
      <c r="K47" s="4" t="s">
        <v>792</v>
      </c>
      <c r="L47" s="4" t="s">
        <v>719</v>
      </c>
      <c r="M47" s="4" t="s">
        <v>628</v>
      </c>
    </row>
    <row r="48" customFormat="false" ht="36" hidden="false" customHeight="true" outlineLevel="0" collapsed="false">
      <c r="A48" s="3" t="s">
        <v>629</v>
      </c>
      <c r="B48" s="3" t="s">
        <v>630</v>
      </c>
      <c r="C48" s="3" t="s">
        <v>632</v>
      </c>
      <c r="D48" s="3" t="n">
        <v>2023</v>
      </c>
      <c r="E48" s="3" t="s">
        <v>854</v>
      </c>
      <c r="F48" s="3" t="s">
        <v>855</v>
      </c>
      <c r="G48" s="3" t="s">
        <v>856</v>
      </c>
      <c r="H48" s="3" t="s">
        <v>723</v>
      </c>
      <c r="I48" s="3" t="s">
        <v>791</v>
      </c>
      <c r="J48" s="3" t="s">
        <v>725</v>
      </c>
      <c r="K48" s="3" t="s">
        <v>718</v>
      </c>
      <c r="L48" s="3" t="s">
        <v>719</v>
      </c>
      <c r="M48" s="3" t="s">
        <v>857</v>
      </c>
    </row>
    <row r="49" customFormat="false" ht="36" hidden="false" customHeight="true" outlineLevel="0" collapsed="false">
      <c r="A49" s="4" t="s">
        <v>640</v>
      </c>
      <c r="B49" s="4" t="s">
        <v>641</v>
      </c>
      <c r="C49" s="4" t="s">
        <v>644</v>
      </c>
      <c r="D49" s="4" t="n">
        <v>2018</v>
      </c>
      <c r="E49" s="4" t="s">
        <v>858</v>
      </c>
      <c r="F49" s="4" t="s">
        <v>859</v>
      </c>
      <c r="G49" s="4" t="s">
        <v>860</v>
      </c>
      <c r="H49" s="4" t="s">
        <v>750</v>
      </c>
      <c r="I49" s="4" t="s">
        <v>861</v>
      </c>
      <c r="J49" s="4" t="s">
        <v>862</v>
      </c>
      <c r="K49" s="4" t="s">
        <v>792</v>
      </c>
      <c r="L49" s="4" t="s">
        <v>719</v>
      </c>
      <c r="M49" s="4" t="s">
        <v>863</v>
      </c>
    </row>
    <row r="50" customFormat="false" ht="36" hidden="false" customHeight="true" outlineLevel="0" collapsed="false">
      <c r="A50" s="3" t="s">
        <v>650</v>
      </c>
      <c r="B50" s="3" t="s">
        <v>651</v>
      </c>
      <c r="C50" s="3" t="s">
        <v>333</v>
      </c>
      <c r="D50" s="3" t="n">
        <v>2017</v>
      </c>
      <c r="E50" s="3" t="s">
        <v>750</v>
      </c>
      <c r="F50" s="3" t="s">
        <v>751</v>
      </c>
      <c r="G50" s="3" t="s">
        <v>864</v>
      </c>
      <c r="H50" s="3" t="s">
        <v>723</v>
      </c>
      <c r="I50" s="3" t="s">
        <v>753</v>
      </c>
      <c r="J50" s="3" t="s">
        <v>725</v>
      </c>
      <c r="K50" s="3" t="s">
        <v>718</v>
      </c>
      <c r="L50" s="3" t="s">
        <v>719</v>
      </c>
      <c r="M50" s="3" t="s">
        <v>654</v>
      </c>
    </row>
    <row r="51" customFormat="false" ht="36" hidden="false" customHeight="true" outlineLevel="0" collapsed="false">
      <c r="A51" s="4" t="s">
        <v>655</v>
      </c>
      <c r="B51" s="4" t="s">
        <v>656</v>
      </c>
      <c r="C51" s="4" t="s">
        <v>478</v>
      </c>
      <c r="D51" s="4" t="n">
        <v>2015</v>
      </c>
      <c r="E51" s="4" t="s">
        <v>796</v>
      </c>
      <c r="F51" s="4" t="s">
        <v>797</v>
      </c>
      <c r="G51" s="4" t="s">
        <v>865</v>
      </c>
      <c r="H51" s="4" t="s">
        <v>723</v>
      </c>
      <c r="I51" s="4" t="s">
        <v>799</v>
      </c>
      <c r="J51" s="4" t="s">
        <v>725</v>
      </c>
      <c r="K51" s="4" t="s">
        <v>718</v>
      </c>
      <c r="L51" s="4" t="s">
        <v>719</v>
      </c>
      <c r="M51" s="4" t="s">
        <v>659</v>
      </c>
    </row>
    <row r="52" customFormat="false" ht="36" hidden="false" customHeight="true" outlineLevel="0" collapsed="false">
      <c r="A52" s="3" t="s">
        <v>660</v>
      </c>
      <c r="B52" s="3" t="s">
        <v>661</v>
      </c>
      <c r="C52" s="3" t="s">
        <v>538</v>
      </c>
      <c r="D52" s="3" t="n">
        <v>2014</v>
      </c>
      <c r="E52" s="3" t="s">
        <v>781</v>
      </c>
      <c r="F52" s="3" t="s">
        <v>820</v>
      </c>
      <c r="G52" s="3" t="s">
        <v>866</v>
      </c>
      <c r="H52" s="3" t="s">
        <v>723</v>
      </c>
      <c r="I52" s="3" t="s">
        <v>799</v>
      </c>
      <c r="J52" s="3" t="s">
        <v>725</v>
      </c>
      <c r="K52" s="3" t="s">
        <v>718</v>
      </c>
      <c r="L52" s="3" t="s">
        <v>719</v>
      </c>
      <c r="M52" s="3" t="s">
        <v>665</v>
      </c>
    </row>
    <row r="53" customFormat="false" ht="36" hidden="false" customHeight="true" outlineLevel="0" collapsed="false">
      <c r="A53" s="4" t="s">
        <v>666</v>
      </c>
      <c r="B53" s="4" t="s">
        <v>667</v>
      </c>
      <c r="C53" s="4" t="s">
        <v>670</v>
      </c>
      <c r="D53" s="4" t="n">
        <v>2015</v>
      </c>
      <c r="E53" s="4" t="s">
        <v>796</v>
      </c>
      <c r="F53" s="4" t="s">
        <v>839</v>
      </c>
      <c r="G53" s="4" t="s">
        <v>867</v>
      </c>
      <c r="H53" s="4" t="s">
        <v>723</v>
      </c>
      <c r="I53" s="4" t="s">
        <v>799</v>
      </c>
      <c r="J53" s="4" t="s">
        <v>725</v>
      </c>
      <c r="K53" s="4" t="s">
        <v>718</v>
      </c>
      <c r="L53" s="4" t="s">
        <v>719</v>
      </c>
      <c r="M53" s="4" t="s">
        <v>868</v>
      </c>
    </row>
    <row r="54" customFormat="false" ht="36" hidden="false" customHeight="true" outlineLevel="0" collapsed="false">
      <c r="A54" s="3" t="s">
        <v>674</v>
      </c>
      <c r="B54" s="3" t="s">
        <v>675</v>
      </c>
      <c r="C54" s="3" t="s">
        <v>282</v>
      </c>
      <c r="D54" s="3" t="n">
        <v>2018</v>
      </c>
      <c r="E54" s="3" t="s">
        <v>733</v>
      </c>
      <c r="F54" s="3" t="s">
        <v>739</v>
      </c>
      <c r="G54" s="3" t="s">
        <v>869</v>
      </c>
      <c r="H54" s="3" t="s">
        <v>723</v>
      </c>
      <c r="I54" s="3" t="s">
        <v>753</v>
      </c>
      <c r="J54" s="3" t="s">
        <v>725</v>
      </c>
      <c r="K54" s="3" t="s">
        <v>718</v>
      </c>
      <c r="L54" s="3" t="s">
        <v>719</v>
      </c>
      <c r="M54" s="3" t="s">
        <v>870</v>
      </c>
    </row>
    <row r="55" customFormat="false" ht="36" hidden="false" customHeight="true" outlineLevel="0" collapsed="false">
      <c r="A55" s="4" t="s">
        <v>680</v>
      </c>
      <c r="B55" s="4" t="s">
        <v>681</v>
      </c>
      <c r="C55" s="4" t="s">
        <v>333</v>
      </c>
      <c r="D55" s="4" t="n">
        <v>2017</v>
      </c>
      <c r="E55" s="4" t="s">
        <v>750</v>
      </c>
      <c r="F55" s="4" t="s">
        <v>816</v>
      </c>
      <c r="G55" s="4" t="s">
        <v>869</v>
      </c>
      <c r="H55" s="4" t="s">
        <v>723</v>
      </c>
      <c r="I55" s="4" t="s">
        <v>753</v>
      </c>
      <c r="J55" s="4" t="s">
        <v>725</v>
      </c>
      <c r="K55" s="4" t="s">
        <v>718</v>
      </c>
      <c r="L55" s="4" t="s">
        <v>719</v>
      </c>
      <c r="M55" s="4" t="s">
        <v>871</v>
      </c>
    </row>
    <row r="56" customFormat="false" ht="36" hidden="false" customHeight="true" outlineLevel="0" collapsed="false">
      <c r="A56" s="3" t="s">
        <v>686</v>
      </c>
      <c r="B56" s="3" t="s">
        <v>687</v>
      </c>
      <c r="C56" s="3" t="s">
        <v>690</v>
      </c>
      <c r="D56" s="3" t="n">
        <v>2024</v>
      </c>
      <c r="E56" s="3" t="s">
        <v>872</v>
      </c>
      <c r="F56" s="3" t="s">
        <v>873</v>
      </c>
      <c r="G56" s="3" t="s">
        <v>874</v>
      </c>
      <c r="H56" s="3" t="s">
        <v>723</v>
      </c>
      <c r="I56" s="3" t="s">
        <v>753</v>
      </c>
      <c r="J56" s="3" t="s">
        <v>725</v>
      </c>
      <c r="K56" s="3" t="s">
        <v>875</v>
      </c>
      <c r="L56" s="3" t="s">
        <v>719</v>
      </c>
      <c r="M56" s="3" t="s">
        <v>876</v>
      </c>
    </row>
    <row r="57" customFormat="false" ht="36" hidden="false" customHeight="true" outlineLevel="0" collapsed="false">
      <c r="A57" s="4" t="s">
        <v>695</v>
      </c>
      <c r="B57" s="4" t="s">
        <v>696</v>
      </c>
      <c r="C57" s="4" t="s">
        <v>266</v>
      </c>
      <c r="D57" s="4" t="n">
        <v>2020</v>
      </c>
      <c r="E57" s="4" t="s">
        <v>877</v>
      </c>
      <c r="F57" s="4" t="s">
        <v>878</v>
      </c>
      <c r="G57" s="4" t="s">
        <v>874</v>
      </c>
      <c r="H57" s="4" t="s">
        <v>723</v>
      </c>
      <c r="I57" s="4" t="s">
        <v>753</v>
      </c>
      <c r="J57" s="4" t="s">
        <v>725</v>
      </c>
      <c r="K57" s="4" t="s">
        <v>718</v>
      </c>
      <c r="L57" s="4" t="s">
        <v>719</v>
      </c>
      <c r="M57" s="4" t="s">
        <v>879</v>
      </c>
    </row>
  </sheetData>
  <autoFilter ref="A1:M57"/>
  <printOptions headings="false" gridLines="false" gridLinesSet="true" horizontalCentered="false" verticalCentered="false"/>
  <pageMargins left="0.75" right="0.75" top="1" bottom="1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48"/>
    <col collapsed="false" customWidth="true" hidden="false" outlineLevel="0" max="4" min="4" style="1" width="12"/>
    <col collapsed="false" customWidth="true" hidden="false" outlineLevel="0" max="5" min="5" style="1" width="52"/>
  </cols>
  <sheetData>
    <row r="1" customFormat="false" ht="24" hidden="false" customHeight="true" outlineLevel="0" collapsed="false">
      <c r="A1" s="2" t="s">
        <v>880</v>
      </c>
      <c r="B1" s="2" t="s">
        <v>881</v>
      </c>
      <c r="C1" s="2" t="s">
        <v>882</v>
      </c>
      <c r="D1" s="2" t="s">
        <v>883</v>
      </c>
      <c r="E1" s="2" t="s">
        <v>884</v>
      </c>
    </row>
    <row r="2" customFormat="false" ht="48" hidden="false" customHeight="true" outlineLevel="0" collapsed="false">
      <c r="A2" s="3" t="s">
        <v>885</v>
      </c>
      <c r="B2" s="3" t="s">
        <v>886</v>
      </c>
      <c r="C2" s="3" t="s">
        <v>887</v>
      </c>
      <c r="D2" s="10" t="n">
        <v>8</v>
      </c>
      <c r="E2" s="3" t="s">
        <v>888</v>
      </c>
    </row>
    <row r="3" customFormat="false" ht="48" hidden="false" customHeight="true" outlineLevel="0" collapsed="false">
      <c r="A3" s="4" t="s">
        <v>889</v>
      </c>
      <c r="B3" s="4" t="s">
        <v>890</v>
      </c>
      <c r="C3" s="4" t="s">
        <v>891</v>
      </c>
      <c r="D3" s="11" t="n">
        <v>9</v>
      </c>
      <c r="E3" s="4" t="s">
        <v>892</v>
      </c>
    </row>
    <row r="4" customFormat="false" ht="48" hidden="false" customHeight="true" outlineLevel="0" collapsed="false">
      <c r="A4" s="3" t="s">
        <v>893</v>
      </c>
      <c r="B4" s="3" t="s">
        <v>894</v>
      </c>
      <c r="C4" s="3" t="s">
        <v>895</v>
      </c>
      <c r="D4" s="10" t="n">
        <v>8</v>
      </c>
      <c r="E4" s="3" t="s">
        <v>896</v>
      </c>
    </row>
    <row r="5" customFormat="false" ht="48" hidden="false" customHeight="true" outlineLevel="0" collapsed="false">
      <c r="A5" s="4" t="s">
        <v>897</v>
      </c>
      <c r="B5" s="4" t="s">
        <v>898</v>
      </c>
      <c r="C5" s="4" t="s">
        <v>899</v>
      </c>
      <c r="D5" s="11" t="n">
        <v>9</v>
      </c>
      <c r="E5" s="4" t="s">
        <v>900</v>
      </c>
    </row>
    <row r="6" customFormat="false" ht="48" hidden="false" customHeight="true" outlineLevel="0" collapsed="false">
      <c r="A6" s="3" t="s">
        <v>901</v>
      </c>
      <c r="B6" s="3" t="s">
        <v>902</v>
      </c>
      <c r="C6" s="3" t="s">
        <v>903</v>
      </c>
      <c r="D6" s="10" t="n">
        <v>8</v>
      </c>
      <c r="E6" s="3" t="s">
        <v>904</v>
      </c>
    </row>
    <row r="7" customFormat="false" ht="48" hidden="false" customHeight="true" outlineLevel="0" collapsed="false">
      <c r="A7" s="4" t="s">
        <v>905</v>
      </c>
      <c r="B7" s="4" t="s">
        <v>906</v>
      </c>
      <c r="C7" s="4" t="s">
        <v>907</v>
      </c>
      <c r="D7" s="11" t="n">
        <v>6</v>
      </c>
      <c r="E7" s="4" t="s">
        <v>908</v>
      </c>
    </row>
    <row r="8" customFormat="false" ht="48" hidden="false" customHeight="true" outlineLevel="0" collapsed="false">
      <c r="A8" s="3" t="s">
        <v>909</v>
      </c>
      <c r="B8" s="3" t="s">
        <v>910</v>
      </c>
      <c r="C8" s="3" t="s">
        <v>911</v>
      </c>
      <c r="D8" s="10" t="n">
        <v>6</v>
      </c>
      <c r="E8" s="3" t="s">
        <v>912</v>
      </c>
    </row>
    <row r="9" customFormat="false" ht="48" hidden="false" customHeight="true" outlineLevel="0" collapsed="false">
      <c r="A9" s="4" t="s">
        <v>913</v>
      </c>
      <c r="B9" s="4" t="s">
        <v>914</v>
      </c>
      <c r="C9" s="4" t="s">
        <v>915</v>
      </c>
      <c r="D9" s="11" t="n">
        <v>5</v>
      </c>
      <c r="E9" s="4" t="s">
        <v>916</v>
      </c>
    </row>
    <row r="10" customFormat="false" ht="48" hidden="false" customHeight="true" outlineLevel="0" collapsed="false">
      <c r="A10" s="3" t="s">
        <v>917</v>
      </c>
      <c r="B10" s="3" t="s">
        <v>918</v>
      </c>
      <c r="C10" s="3" t="s">
        <v>919</v>
      </c>
      <c r="D10" s="10" t="n">
        <v>9</v>
      </c>
      <c r="E10" s="3" t="s">
        <v>920</v>
      </c>
    </row>
    <row r="11" customFormat="false" ht="48" hidden="false" customHeight="true" outlineLevel="0" collapsed="false">
      <c r="A11" s="4" t="s">
        <v>921</v>
      </c>
      <c r="B11" s="4" t="s">
        <v>922</v>
      </c>
      <c r="C11" s="4" t="s">
        <v>923</v>
      </c>
      <c r="D11" s="11" t="n">
        <v>7</v>
      </c>
      <c r="E11" s="4" t="s">
        <v>924</v>
      </c>
    </row>
    <row r="12" customFormat="false" ht="48" hidden="false" customHeight="true" outlineLevel="0" collapsed="false">
      <c r="A12" s="3" t="s">
        <v>925</v>
      </c>
      <c r="B12" s="3" t="s">
        <v>926</v>
      </c>
      <c r="C12" s="3" t="s">
        <v>927</v>
      </c>
      <c r="D12" s="10" t="n">
        <v>10</v>
      </c>
      <c r="E12" s="3" t="s">
        <v>928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56"/>
    <col collapsed="false" customWidth="true" hidden="false" outlineLevel="0" max="4" min="4" style="1" width="72"/>
  </cols>
  <sheetData>
    <row r="1" customFormat="false" ht="21.75" hidden="false" customHeight="true" outlineLevel="0" collapsed="false">
      <c r="A1" s="12" t="s">
        <v>880</v>
      </c>
      <c r="B1" s="12" t="s">
        <v>929</v>
      </c>
      <c r="C1" s="12" t="s">
        <v>930</v>
      </c>
      <c r="D1" s="12" t="s">
        <v>931</v>
      </c>
    </row>
    <row r="2" customFormat="false" ht="36" hidden="false" customHeight="true" outlineLevel="0" collapsed="false">
      <c r="A2" s="7" t="s">
        <v>932</v>
      </c>
      <c r="B2" s="7" t="s">
        <v>933</v>
      </c>
      <c r="C2" s="7" t="s">
        <v>934</v>
      </c>
      <c r="D2" s="7" t="s">
        <v>244</v>
      </c>
    </row>
    <row r="3" customFormat="false" ht="36" hidden="false" customHeight="true" outlineLevel="0" collapsed="false">
      <c r="A3" s="8" t="s">
        <v>935</v>
      </c>
      <c r="B3" s="8" t="s">
        <v>936</v>
      </c>
      <c r="C3" s="8" t="s">
        <v>937</v>
      </c>
      <c r="D3" s="8" t="s">
        <v>938</v>
      </c>
    </row>
    <row r="4" customFormat="false" ht="36" hidden="false" customHeight="true" outlineLevel="0" collapsed="false">
      <c r="A4" s="7" t="s">
        <v>939</v>
      </c>
      <c r="B4" s="7" t="s">
        <v>940</v>
      </c>
      <c r="C4" s="7" t="s">
        <v>941</v>
      </c>
      <c r="D4" s="7" t="s">
        <v>244</v>
      </c>
    </row>
    <row r="5" customFormat="false" ht="36" hidden="false" customHeight="true" outlineLevel="0" collapsed="false">
      <c r="A5" s="8" t="s">
        <v>942</v>
      </c>
      <c r="B5" s="8" t="s">
        <v>943</v>
      </c>
      <c r="C5" s="8" t="s">
        <v>944</v>
      </c>
      <c r="D5" s="8" t="s">
        <v>244</v>
      </c>
    </row>
    <row r="6" customFormat="false" ht="36" hidden="false" customHeight="true" outlineLevel="0" collapsed="false">
      <c r="A6" s="7" t="s">
        <v>945</v>
      </c>
      <c r="B6" s="7" t="s">
        <v>946</v>
      </c>
      <c r="C6" s="7" t="s">
        <v>947</v>
      </c>
      <c r="D6" s="7" t="s">
        <v>244</v>
      </c>
    </row>
    <row r="7" customFormat="false" ht="36" hidden="false" customHeight="true" outlineLevel="0" collapsed="false">
      <c r="A7" s="8" t="s">
        <v>948</v>
      </c>
      <c r="B7" s="8" t="s">
        <v>259</v>
      </c>
      <c r="C7" s="8" t="s">
        <v>949</v>
      </c>
      <c r="D7" s="8" t="s">
        <v>950</v>
      </c>
    </row>
    <row r="8" customFormat="false" ht="36" hidden="false" customHeight="true" outlineLevel="0" collapsed="false">
      <c r="A8" s="7" t="s">
        <v>259</v>
      </c>
      <c r="B8" s="7" t="s">
        <v>259</v>
      </c>
      <c r="C8" s="7" t="s">
        <v>951</v>
      </c>
      <c r="D8" s="7" t="s">
        <v>244</v>
      </c>
    </row>
    <row r="9" customFormat="false" ht="36" hidden="false" customHeight="true" outlineLevel="0" collapsed="false">
      <c r="A9" s="8" t="s">
        <v>254</v>
      </c>
      <c r="B9" s="8" t="s">
        <v>952</v>
      </c>
      <c r="C9" s="8" t="s">
        <v>953</v>
      </c>
      <c r="D9" s="8" t="s">
        <v>954</v>
      </c>
    </row>
    <row r="10" customFormat="false" ht="36" hidden="false" customHeight="true" outlineLevel="0" collapsed="false">
      <c r="A10" s="7" t="s">
        <v>955</v>
      </c>
      <c r="B10" s="7" t="s">
        <v>956</v>
      </c>
      <c r="C10" s="7" t="s">
        <v>957</v>
      </c>
      <c r="D10" s="7" t="s">
        <v>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72"/>
    <col collapsed="false" customWidth="true" hidden="false" outlineLevel="0" max="4" min="4" style="1" width="36"/>
  </cols>
  <sheetData>
    <row r="1" customFormat="false" ht="15" hidden="false" customHeight="true" outlineLevel="0" collapsed="false">
      <c r="A1" s="13" t="s">
        <v>959</v>
      </c>
      <c r="B1" s="13" t="s">
        <v>246</v>
      </c>
      <c r="C1" s="13" t="s">
        <v>960</v>
      </c>
      <c r="D1" s="13" t="s">
        <v>711</v>
      </c>
    </row>
    <row r="2" customFormat="false" ht="31.5" hidden="false" customHeight="true" outlineLevel="0" collapsed="false">
      <c r="A2" s="7" t="s">
        <v>961</v>
      </c>
      <c r="B2" s="7" t="s">
        <v>592</v>
      </c>
      <c r="C2" s="7" t="s">
        <v>962</v>
      </c>
      <c r="D2" s="7" t="s">
        <v>963</v>
      </c>
    </row>
    <row r="3" customFormat="false" ht="31.5" hidden="false" customHeight="true" outlineLevel="0" collapsed="false">
      <c r="A3" s="8" t="s">
        <v>964</v>
      </c>
      <c r="B3" s="8" t="s">
        <v>374</v>
      </c>
      <c r="C3" s="8" t="s">
        <v>965</v>
      </c>
      <c r="D3" s="8" t="s">
        <v>966</v>
      </c>
    </row>
    <row r="4" customFormat="false" ht="31.5" hidden="false" customHeight="true" outlineLevel="0" collapsed="false">
      <c r="A4" s="7" t="s">
        <v>313</v>
      </c>
      <c r="B4" s="7" t="s">
        <v>309</v>
      </c>
      <c r="C4" s="7" t="s">
        <v>967</v>
      </c>
      <c r="D4" s="7" t="s">
        <v>968</v>
      </c>
    </row>
    <row r="5" customFormat="false" ht="31.5" hidden="false" customHeight="true" outlineLevel="0" collapsed="false">
      <c r="A5" s="8" t="s">
        <v>610</v>
      </c>
      <c r="B5" s="8" t="s">
        <v>607</v>
      </c>
      <c r="C5" s="8" t="s">
        <v>969</v>
      </c>
      <c r="D5" s="8" t="s">
        <v>849</v>
      </c>
    </row>
    <row r="6" customFormat="false" ht="31.5" hidden="false" customHeight="true" outlineLevel="0" collapsed="false">
      <c r="A6" s="7" t="s">
        <v>970</v>
      </c>
      <c r="B6" s="7" t="s">
        <v>577</v>
      </c>
      <c r="C6" s="7" t="s">
        <v>971</v>
      </c>
      <c r="D6" s="7" t="s">
        <v>972</v>
      </c>
    </row>
    <row r="7" customFormat="false" ht="31.5" hidden="false" customHeight="true" outlineLevel="0" collapsed="false">
      <c r="A7" s="8" t="s">
        <v>691</v>
      </c>
      <c r="B7" s="8" t="s">
        <v>687</v>
      </c>
      <c r="C7" s="8" t="s">
        <v>973</v>
      </c>
      <c r="D7" s="8" t="s">
        <v>879</v>
      </c>
    </row>
    <row r="8" customFormat="false" ht="31.5" hidden="false" customHeight="true" outlineLevel="0" collapsed="false">
      <c r="A8" s="7" t="s">
        <v>633</v>
      </c>
      <c r="B8" s="7" t="s">
        <v>630</v>
      </c>
      <c r="C8" s="7" t="s">
        <v>974</v>
      </c>
      <c r="D8" s="7" t="s">
        <v>975</v>
      </c>
    </row>
    <row r="9" customFormat="false" ht="31.5" hidden="false" customHeight="true" outlineLevel="0" collapsed="false">
      <c r="A9" s="8" t="s">
        <v>565</v>
      </c>
      <c r="B9" s="8" t="s">
        <v>561</v>
      </c>
      <c r="C9" s="8" t="s">
        <v>976</v>
      </c>
      <c r="D9" s="8" t="s">
        <v>562</v>
      </c>
    </row>
    <row r="10" customFormat="false" ht="31.5" hidden="false" customHeight="true" outlineLevel="0" collapsed="false">
      <c r="A10" s="7" t="s">
        <v>520</v>
      </c>
      <c r="B10" s="7" t="s">
        <v>517</v>
      </c>
      <c r="C10" s="7" t="s">
        <v>977</v>
      </c>
      <c r="D10" s="7" t="s">
        <v>978</v>
      </c>
    </row>
    <row r="11" customFormat="false" ht="31.5" hidden="false" customHeight="true" outlineLevel="0" collapsed="false">
      <c r="A11" s="8" t="s">
        <v>492</v>
      </c>
      <c r="B11" s="8" t="s">
        <v>489</v>
      </c>
      <c r="C11" s="8" t="s">
        <v>979</v>
      </c>
      <c r="D11" s="8" t="s">
        <v>806</v>
      </c>
    </row>
    <row r="12" customFormat="false" ht="31.5" hidden="false" customHeight="true" outlineLevel="0" collapsed="false">
      <c r="A12" s="7" t="s">
        <v>645</v>
      </c>
      <c r="B12" s="7" t="s">
        <v>641</v>
      </c>
      <c r="C12" s="7" t="s">
        <v>980</v>
      </c>
      <c r="D12" s="7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9.5" hidden="false" customHeight="true" outlineLevel="0" collapsed="false">
      <c r="A1" s="14" t="s">
        <v>981</v>
      </c>
    </row>
    <row r="3" customFormat="false" ht="36" hidden="false" customHeight="true" outlineLevel="0" collapsed="false">
      <c r="A3" s="15" t="s">
        <v>982</v>
      </c>
    </row>
    <row r="4" customFormat="false" ht="36" hidden="false" customHeight="true" outlineLevel="0" collapsed="false">
      <c r="A4" s="15" t="s">
        <v>983</v>
      </c>
    </row>
    <row r="5" customFormat="false" ht="36" hidden="false" customHeight="true" outlineLevel="0" collapsed="false">
      <c r="A5" s="15" t="s">
        <v>984</v>
      </c>
    </row>
    <row r="6" customFormat="false" ht="36" hidden="false" customHeight="true" outlineLevel="0" collapsed="false">
      <c r="A6" s="15" t="s">
        <v>985</v>
      </c>
    </row>
    <row r="7" customFormat="false" ht="36" hidden="false" customHeight="true" outlineLevel="0" collapsed="false">
      <c r="A7" s="15" t="s">
        <v>986</v>
      </c>
    </row>
    <row r="8" customFormat="false" ht="36" hidden="false" customHeight="true" outlineLevel="0" collapsed="false">
      <c r="A8" s="15" t="s">
        <v>987</v>
      </c>
    </row>
    <row r="9" customFormat="false" ht="36" hidden="false" customHeight="true" outlineLevel="0" collapsed="false">
      <c r="A9" s="15" t="s">
        <v>988</v>
      </c>
    </row>
    <row r="10" customFormat="false" ht="36" hidden="false" customHeight="true" outlineLevel="0" collapsed="false">
      <c r="A10" s="15" t="s">
        <v>989</v>
      </c>
    </row>
    <row r="12" customFormat="false" ht="27.75" hidden="false" customHeight="true" outlineLevel="0" collapsed="false">
      <c r="A12" s="16" t="s">
        <v>990</v>
      </c>
    </row>
    <row r="13" customFormat="false" ht="27.75" hidden="false" customHeight="true" outlineLevel="0" collapsed="false">
      <c r="A13" s="16" t="s">
        <v>991</v>
      </c>
    </row>
    <row r="14" customFormat="false" ht="27.75" hidden="false" customHeight="true" outlineLevel="0" collapsed="false">
      <c r="A14" s="16" t="s">
        <v>992</v>
      </c>
    </row>
    <row r="16" customFormat="false" ht="31.5" hidden="false" customHeight="true" outlineLevel="0" collapsed="false">
      <c r="A16" s="16" t="s">
        <v>993</v>
      </c>
    </row>
    <row r="17" customFormat="false" ht="31.5" hidden="false" customHeight="true" outlineLevel="0" collapsed="false">
      <c r="A17" s="16" t="s">
        <v>994</v>
      </c>
    </row>
    <row r="18" customFormat="false" ht="31.5" hidden="false" customHeight="true" outlineLevel="0" collapsed="false">
      <c r="A18" s="16" t="s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2026-09-04T11:40:51Z</dcterms:created>
  <dc:creator>openpyxl</dc:creator>
  <dc:description/>
  <dc:language>en-US</dc:language>
  <cp:lastModifiedBy/>
  <dcterms:modified xsi:type="dcterms:W3CDTF">2026-09-04T18:53:58Z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